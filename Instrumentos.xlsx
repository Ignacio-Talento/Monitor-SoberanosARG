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AA7BE96C-B0C3-E843-9F81-13C5756641F2}" xr6:coauthVersionLast="47" xr6:coauthVersionMax="47" xr10:uidLastSave="{00000000-0000-0000-0000-000000000000}"/>
  <bookViews>
    <workbookView xWindow="0" yWindow="760" windowWidth="29400" windowHeight="16940" activeTab="5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7" l="1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58" i="11" l="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16" i="7" l="1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C62" i="11" l="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C27" i="11" l="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C64" i="11" l="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C29" i="11" l="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C66" i="11" l="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C31" i="11" l="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C48" i="11" l="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C50" i="11" l="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C71" i="11" l="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C52" i="11" l="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C53" i="11" l="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175" i="8" l="1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177" i="8" l="1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C188" i="8" l="1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179" i="8" l="1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181" i="8" l="1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C192" i="8" l="1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183" i="8" l="1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C194" i="8" l="1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C196" i="8" l="1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<sst xmlns="http://schemas.openxmlformats.org/spreadsheetml/2006/main" count="933" uniqueCount="99">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</sst>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1" t="s">
        <v>29</v>
      </c>
      <c r="B2" s="1" t="s">
        <v>8</v>
      </c>
      <c r="C2" s="3">
        <v>45807</v>
      </c>
      <c r="D2" s="3">
        <v>46171</v>
      </c>
      <c r="E2" s="1">
        <v>2.35</v>
      </c>
      <c r="F2" s="7">
        <f>DAYS360(C2,D2)/30</f>
        <v>11.966666666666667</v>
      </c>
      <c r="G2" s="1">
        <f t="shared" ref="G2:G7" si="0">100*(1+E2/100)^F2</f>
        <v>132.04376604087778</v>
      </c>
    </row>
    <row r="3" spans="1:7" x14ac:dyDescent="0.2">
      <c r="A3" s="1" t="s">
        <v>30</v>
      </c>
      <c r="B3" s="1" t="s">
        <v>8</v>
      </c>
      <c r="C3" s="3">
        <v>46142</v>
      </c>
      <c r="D3" s="3">
        <v>46185</v>
      </c>
      <c r="E3" s="1">
        <v>2.1</v>
      </c>
      <c r="F3" s="7">
        <f>DAYS360(C3,D3)/30</f>
        <v>1.4</v>
      </c>
      <c r="G3" s="1">
        <f t="shared" si="0"/>
        <v>102.9522965693394</v>
      </c>
    </row>
    <row r="4" spans="1:7" x14ac:dyDescent="0.2">
      <c r="A4" s="1" t="s">
        <v>31</v>
      </c>
      <c r="B4" s="1" t="s">
        <v>8</v>
      </c>
      <c r="C4" s="3">
        <v>45674</v>
      </c>
      <c r="D4" s="3">
        <v>46203</v>
      </c>
      <c r="E4" s="1">
        <v>2.15</v>
      </c>
      <c r="F4" s="7">
        <f>DAYS360(C4,D4)/30</f>
        <v>17.433333333333334</v>
      </c>
      <c r="G4" s="1">
        <f t="shared" si="0"/>
        <v>144.89573444321886</v>
      </c>
    </row>
    <row r="5" spans="1:7" x14ac:dyDescent="0.2">
      <c r="A5" s="1" t="s">
        <v>32</v>
      </c>
      <c r="B5" s="1" t="s">
        <v>8</v>
      </c>
      <c r="C5" s="3">
        <v>46112</v>
      </c>
      <c r="D5" s="3">
        <v>46220</v>
      </c>
      <c r="E5" s="1">
        <v>2.16</v>
      </c>
      <c r="F5" s="7">
        <f>DAYS360(C5,D5)/30</f>
        <v>3.5666666666666669</v>
      </c>
      <c r="G5" s="1">
        <f t="shared" si="0"/>
        <v>107.91997113654924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/>
      <c r="B18" s="1"/>
      <c r="C18" s="3"/>
      <c r="D18" s="3"/>
      <c r="E18" s="1"/>
      <c r="F18" s="1"/>
      <c r="G18" s="1"/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17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6" x14ac:dyDescent="0.2">
      <c r="A2" s="1" t="s">
        <v>22</v>
      </c>
      <c r="B2" s="1" t="s">
        <v>24</v>
      </c>
      <c r="C2" s="3">
        <v>45323</v>
      </c>
      <c r="D2" s="3">
        <v>46203</v>
      </c>
      <c r="E2" s="1">
        <v>10</v>
      </c>
      <c r="F2" s="1">
        <v>0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9"/>
  <sheetViews>
    <sheetView workbookViewId="0">
      <selection activeCell="E20" sqref="E20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1" t="s">
        <v>55</v>
      </c>
      <c r="B2" s="1" t="s">
        <v>56</v>
      </c>
      <c r="C2" s="3">
        <v>45350</v>
      </c>
      <c r="D2" s="3">
        <v>46203</v>
      </c>
      <c r="E2" s="1">
        <v>838.95</v>
      </c>
      <c r="F2" s="1">
        <v>0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22"/>
  <sheetViews>
    <sheetView tabSelected="1" topLeftCell="A150" workbookViewId="0">
      <selection activeCell="Q179" sqref="Q179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>((D156*C155)/360)*DAYS360(B155,B156)</f>
        <v>2.5</v>
      </c>
      <c r="F156" s="1">
        <v>0</v>
      </c>
      <c r="G156" s="1">
        <f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>C156-F157</f>
        <v>95.454599999999999</v>
      </c>
      <c r="D157" s="4">
        <v>0.05</v>
      </c>
      <c r="E157" s="5">
        <f>((D157*C156)/360)*DAYS360(B156,B157)</f>
        <v>2.5</v>
      </c>
      <c r="F157" s="1">
        <v>4.5453999999999999</v>
      </c>
      <c r="G157" s="1">
        <f>F157+E157</f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>C157-F158</f>
        <v>90.909199999999998</v>
      </c>
      <c r="D158" s="4">
        <v>0.05</v>
      </c>
      <c r="E158" s="5">
        <f>((D158*C157)/360)*DAYS360(B157,B158)</f>
        <v>2.3863650000000001</v>
      </c>
      <c r="F158" s="1">
        <v>4.5453999999999999</v>
      </c>
      <c r="G158" s="1">
        <f>F158+E158</f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>C158-F159</f>
        <v>86.363799999999998</v>
      </c>
      <c r="D159" s="4">
        <v>0.05</v>
      </c>
      <c r="E159" s="5">
        <f>((D159*C158)/360)*DAYS360(B158,B159)</f>
        <v>2.2727300000000001</v>
      </c>
      <c r="F159" s="1">
        <v>4.5453999999999999</v>
      </c>
      <c r="G159" s="1">
        <f>F159+E159</f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>C159-F160</f>
        <v>81.818399999999997</v>
      </c>
      <c r="D160" s="4">
        <v>0.05</v>
      </c>
      <c r="E160" s="5">
        <f>((D160*C159)/360)*DAYS360(B159,B160)</f>
        <v>2.1590950000000002</v>
      </c>
      <c r="F160" s="1">
        <v>4.5453999999999999</v>
      </c>
      <c r="G160" s="1">
        <f>F160+E160</f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>C160-F161</f>
        <v>77.272999999999996</v>
      </c>
      <c r="D161" s="4">
        <v>0.05</v>
      </c>
      <c r="E161" s="5">
        <f>((D161*C160)/360)*DAYS360(B160,B161)</f>
        <v>2.0454599999999998</v>
      </c>
      <c r="F161" s="1">
        <v>4.5453999999999999</v>
      </c>
      <c r="G161" s="1">
        <f>F161+E161</f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>C161-F162</f>
        <v>72.727599999999995</v>
      </c>
      <c r="D162" s="4">
        <v>0.05</v>
      </c>
      <c r="E162" s="5">
        <f>((D162*C161)/360)*DAYS360(B161,B162)</f>
        <v>1.9318249999999999</v>
      </c>
      <c r="F162" s="1">
        <v>4.5453999999999999</v>
      </c>
      <c r="G162" s="1">
        <f>F162+E162</f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>C162-F163</f>
        <v>68.182199999999995</v>
      </c>
      <c r="D163" s="4">
        <v>0.05</v>
      </c>
      <c r="E163" s="5">
        <f>((D163*C162)/360)*DAYS360(B162,B163)</f>
        <v>1.81819</v>
      </c>
      <c r="F163" s="1">
        <v>4.5453999999999999</v>
      </c>
      <c r="G163" s="1">
        <f>F163+E163</f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>C163-F164</f>
        <v>63.636799999999994</v>
      </c>
      <c r="D164" s="4">
        <v>0.05</v>
      </c>
      <c r="E164" s="5">
        <f>((D164*C163)/360)*DAYS360(B163,B164)</f>
        <v>1.704555</v>
      </c>
      <c r="F164" s="1">
        <v>4.5453999999999999</v>
      </c>
      <c r="G164" s="1">
        <f>F164+E164</f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>C164-F165</f>
        <v>59.091399999999993</v>
      </c>
      <c r="D165" s="4">
        <v>0.05</v>
      </c>
      <c r="E165" s="5">
        <f>((D165*C164)/360)*DAYS360(B164,B165)</f>
        <v>1.5909199999999999</v>
      </c>
      <c r="F165" s="1">
        <v>4.5453999999999999</v>
      </c>
      <c r="G165" s="1">
        <f>F165+E165</f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>C165-F166</f>
        <v>54.545999999999992</v>
      </c>
      <c r="D166" s="4">
        <v>0.05</v>
      </c>
      <c r="E166" s="5">
        <f>((D166*C165)/360)*DAYS360(B165,B166)</f>
        <v>1.477285</v>
      </c>
      <c r="F166" s="1">
        <v>4.5453999999999999</v>
      </c>
      <c r="G166" s="1">
        <f>F166+E166</f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>C166-F167</f>
        <v>50.000599999999991</v>
      </c>
      <c r="D167" s="4">
        <v>0.05</v>
      </c>
      <c r="E167" s="5">
        <f>((D167*C166)/360)*DAYS360(B166,B167)</f>
        <v>1.3636499999999998</v>
      </c>
      <c r="F167" s="1">
        <v>4.5453999999999999</v>
      </c>
      <c r="G167" s="1">
        <f>F167+E167</f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>C167-F168</f>
        <v>45.455199999999991</v>
      </c>
      <c r="D168" s="4">
        <v>0.05</v>
      </c>
      <c r="E168" s="5">
        <f>((D168*C167)/360)*DAYS360(B167,B168)</f>
        <v>1.2500149999999999</v>
      </c>
      <c r="F168" s="1">
        <v>4.5453999999999999</v>
      </c>
      <c r="G168" s="1">
        <f>F168+E168</f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>C168-F169</f>
        <v>40.90979999999999</v>
      </c>
      <c r="D169" s="4">
        <v>0.05</v>
      </c>
      <c r="E169" s="5">
        <f>((D169*C168)/360)*DAYS360(B168,B169)</f>
        <v>1.1363799999999997</v>
      </c>
      <c r="F169" s="1">
        <v>4.5453999999999999</v>
      </c>
      <c r="G169" s="1">
        <f>F169+E169</f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>C169-F170</f>
        <v>36.364399999999989</v>
      </c>
      <c r="D170" s="4">
        <v>0.05</v>
      </c>
      <c r="E170" s="5">
        <f>((D170*C169)/360)*DAYS360(B169,B170)</f>
        <v>1.0227449999999998</v>
      </c>
      <c r="F170" s="1">
        <v>4.5453999999999999</v>
      </c>
      <c r="G170" s="1">
        <f>F170+E170</f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>C170-F171</f>
        <v>31.818999999999988</v>
      </c>
      <c r="D171" s="4">
        <v>0.05</v>
      </c>
      <c r="E171" s="5">
        <f>((D171*C170)/360)*DAYS360(B170,B171)</f>
        <v>0.90910999999999975</v>
      </c>
      <c r="F171" s="1">
        <v>4.5453999999999999</v>
      </c>
      <c r="G171" s="1">
        <f>F171+E171</f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>C171-F172</f>
        <v>27.273599999999988</v>
      </c>
      <c r="D172" s="4">
        <v>0.05</v>
      </c>
      <c r="E172" s="5">
        <f>((D172*C171)/360)*DAYS360(B171,B172)</f>
        <v>0.79547499999999971</v>
      </c>
      <c r="F172" s="1">
        <v>4.5453999999999999</v>
      </c>
      <c r="G172" s="1">
        <f>F172+E172</f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>C172-F173</f>
        <v>22.728199999999987</v>
      </c>
      <c r="D173" s="4">
        <v>0.05</v>
      </c>
      <c r="E173" s="5">
        <f>((D173*C172)/360)*DAYS360(B172,B173)</f>
        <v>0.68183999999999978</v>
      </c>
      <c r="F173" s="1">
        <v>4.5453999999999999</v>
      </c>
      <c r="G173" s="1">
        <f>F173+E173</f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>C173-F174</f>
        <v>18.182799999999986</v>
      </c>
      <c r="D174" s="4">
        <v>0.05</v>
      </c>
      <c r="E174" s="5">
        <f>((D174*C173)/360)*DAYS360(B173,B174)</f>
        <v>0.56820499999999974</v>
      </c>
      <c r="F174" s="1">
        <v>4.5453999999999999</v>
      </c>
      <c r="G174" s="1">
        <f>F174+E174</f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>C174-F175</f>
        <v>13.637399999999985</v>
      </c>
      <c r="D175" s="4">
        <v>0.05</v>
      </c>
      <c r="E175" s="5">
        <f>((D175*C174)/360)*DAYS360(B174,B175)</f>
        <v>0.4545699999999997</v>
      </c>
      <c r="F175" s="1">
        <v>4.5453999999999999</v>
      </c>
      <c r="G175" s="1">
        <f>F175+E175</f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>C175-F176</f>
        <v>9.0919999999999845</v>
      </c>
      <c r="D176" s="4">
        <v>0.05</v>
      </c>
      <c r="E176" s="5">
        <f>((D176*C175)/360)*DAYS360(B175,B176)</f>
        <v>0.34093499999999965</v>
      </c>
      <c r="F176" s="1">
        <v>4.5453999999999999</v>
      </c>
      <c r="G176" s="1">
        <f>F176+E176</f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>C176-F177</f>
        <v>4.5465999999999847</v>
      </c>
      <c r="D177" s="4">
        <v>0.05</v>
      </c>
      <c r="E177" s="5">
        <f>((D177*C176)/360)*DAYS360(B176,B177)</f>
        <v>0.22729999999999961</v>
      </c>
      <c r="F177" s="1">
        <v>4.5453999999999999</v>
      </c>
      <c r="G177" s="1">
        <f>F177+E177</f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>((D178*C177)/360)*DAYS360(B177,B178)</f>
        <v>0.11366499999999963</v>
      </c>
      <c r="F178" s="1">
        <v>4.5465999999999998</v>
      </c>
      <c r="G178" s="1">
        <f>F178+E178</f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5">((D182*C181)/360)*DAYS360(B181,B182)</f>
        <v>0.10590277777777778</v>
      </c>
      <c r="F182" s="1">
        <v>0</v>
      </c>
      <c r="G182" s="1">
        <f t="shared" ref="G182:G215" si="36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5"/>
        <v>1.25</v>
      </c>
      <c r="F183" s="1">
        <v>0</v>
      </c>
      <c r="G183" s="1">
        <f t="shared" si="36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5"/>
        <v>1.25</v>
      </c>
      <c r="F184" s="1">
        <v>0</v>
      </c>
      <c r="G184" s="1">
        <f t="shared" si="36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5"/>
        <v>1.7500000000000004</v>
      </c>
      <c r="F185" s="1">
        <v>0</v>
      </c>
      <c r="G185" s="1">
        <f t="shared" si="36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5"/>
        <v>1.7500000000000004</v>
      </c>
      <c r="F186" s="1">
        <v>0</v>
      </c>
      <c r="G186" s="1">
        <f t="shared" si="36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5"/>
        <v>1.7500000000000004</v>
      </c>
      <c r="F187" s="1">
        <v>0</v>
      </c>
      <c r="G187" s="1">
        <f t="shared" si="36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5"/>
        <v>1.7500000000000004</v>
      </c>
      <c r="F188" s="1">
        <v>0</v>
      </c>
      <c r="G188" s="1">
        <f t="shared" si="36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5"/>
        <v>1.7500000000000004</v>
      </c>
      <c r="F189" s="1">
        <v>0</v>
      </c>
      <c r="G189" s="1">
        <f t="shared" si="36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5"/>
        <v>1.7500000000000004</v>
      </c>
      <c r="F190" s="1">
        <v>0</v>
      </c>
      <c r="G190" s="1">
        <f t="shared" si="36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5"/>
        <v>1.7500000000000004</v>
      </c>
      <c r="F191" s="1">
        <v>0</v>
      </c>
      <c r="G191" s="1">
        <f t="shared" si="36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5"/>
        <v>1.7500000000000004</v>
      </c>
      <c r="F192" s="1">
        <v>0</v>
      </c>
      <c r="G192" s="1">
        <f t="shared" si="36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5"/>
        <v>1.7500000000000004</v>
      </c>
      <c r="F193" s="1">
        <v>0</v>
      </c>
      <c r="G193" s="1">
        <f t="shared" si="36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5"/>
        <v>1.7500000000000004</v>
      </c>
      <c r="F194" s="1">
        <v>0</v>
      </c>
      <c r="G194" s="1">
        <f t="shared" si="36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37">C194-F195</f>
        <v>96.428600000000003</v>
      </c>
      <c r="D195" s="4">
        <v>3.5000000000000003E-2</v>
      </c>
      <c r="E195" s="5">
        <f t="shared" si="35"/>
        <v>1.7500000000000004</v>
      </c>
      <c r="F195" s="1">
        <v>3.5714000000000001</v>
      </c>
      <c r="G195" s="1">
        <f t="shared" si="36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37"/>
        <v>92.857200000000006</v>
      </c>
      <c r="D196" s="4">
        <v>3.5000000000000003E-2</v>
      </c>
      <c r="E196" s="5">
        <f t="shared" si="35"/>
        <v>1.6875005000000005</v>
      </c>
      <c r="F196" s="1">
        <v>3.5714000000000001</v>
      </c>
      <c r="G196" s="1">
        <f t="shared" si="36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37"/>
        <v>89.285800000000009</v>
      </c>
      <c r="D197" s="4">
        <v>3.5000000000000003E-2</v>
      </c>
      <c r="E197" s="5">
        <f t="shared" si="35"/>
        <v>1.6250010000000004</v>
      </c>
      <c r="F197" s="1">
        <v>3.5714000000000001</v>
      </c>
      <c r="G197" s="1">
        <f t="shared" si="36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37"/>
        <v>85.714400000000012</v>
      </c>
      <c r="D198" s="4">
        <v>3.5000000000000003E-2</v>
      </c>
      <c r="E198" s="5">
        <f t="shared" si="35"/>
        <v>1.5625015000000002</v>
      </c>
      <c r="F198" s="1">
        <v>3.5714000000000001</v>
      </c>
      <c r="G198" s="1">
        <f t="shared" si="36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37"/>
        <v>82.143000000000015</v>
      </c>
      <c r="D199" s="4">
        <v>4.8750000000000002E-2</v>
      </c>
      <c r="E199" s="5">
        <f t="shared" si="35"/>
        <v>2.0892885000000003</v>
      </c>
      <c r="F199" s="1">
        <v>3.5714000000000001</v>
      </c>
      <c r="G199" s="1">
        <f t="shared" si="36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37"/>
        <v>78.571600000000018</v>
      </c>
      <c r="D200" s="4">
        <v>4.8750000000000002E-2</v>
      </c>
      <c r="E200" s="5">
        <f t="shared" si="35"/>
        <v>2.0022356250000004</v>
      </c>
      <c r="F200" s="1">
        <v>3.5714000000000001</v>
      </c>
      <c r="G200" s="1">
        <f t="shared" si="36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37"/>
        <v>75.000200000000021</v>
      </c>
      <c r="D201" s="4">
        <v>4.8750000000000002E-2</v>
      </c>
      <c r="E201" s="5">
        <f t="shared" si="35"/>
        <v>1.9151827500000003</v>
      </c>
      <c r="F201" s="1">
        <v>3.5714000000000001</v>
      </c>
      <c r="G201" s="1">
        <f t="shared" si="36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37"/>
        <v>71.428800000000024</v>
      </c>
      <c r="D202" s="4">
        <v>4.8750000000000002E-2</v>
      </c>
      <c r="E202" s="5">
        <f t="shared" si="35"/>
        <v>1.8281298750000006</v>
      </c>
      <c r="F202" s="1">
        <v>3.5714000000000001</v>
      </c>
      <c r="G202" s="1">
        <f t="shared" si="36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37"/>
        <v>67.857400000000027</v>
      </c>
      <c r="D203" s="4">
        <v>4.8750000000000002E-2</v>
      </c>
      <c r="E203" s="5">
        <f t="shared" si="35"/>
        <v>1.7410770000000007</v>
      </c>
      <c r="F203" s="1">
        <v>3.5714000000000001</v>
      </c>
      <c r="G203" s="1">
        <f t="shared" si="36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37"/>
        <v>64.28600000000003</v>
      </c>
      <c r="D204" s="4">
        <v>4.8750000000000002E-2</v>
      </c>
      <c r="E204" s="5">
        <f t="shared" si="35"/>
        <v>1.6540241250000007</v>
      </c>
      <c r="F204" s="1">
        <v>3.5714000000000001</v>
      </c>
      <c r="G204" s="1">
        <f t="shared" si="36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37"/>
        <v>60.714600000000033</v>
      </c>
      <c r="D205" s="4">
        <v>4.8750000000000002E-2</v>
      </c>
      <c r="E205" s="5">
        <f t="shared" si="35"/>
        <v>1.5669712500000008</v>
      </c>
      <c r="F205" s="1">
        <v>3.5714000000000001</v>
      </c>
      <c r="G205" s="1">
        <f t="shared" si="36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37"/>
        <v>57.143200000000036</v>
      </c>
      <c r="D206" s="4">
        <v>4.8750000000000002E-2</v>
      </c>
      <c r="E206" s="5">
        <f t="shared" si="35"/>
        <v>1.4799183750000011</v>
      </c>
      <c r="F206" s="1">
        <v>3.5714000000000001</v>
      </c>
      <c r="G206" s="1">
        <f t="shared" si="36"/>
        <v>5.051318375000001</v>
      </c>
    </row>
    <row r="207" spans="1:7" x14ac:dyDescent="0.2">
      <c r="A207" s="1" t="s">
        <v>66</v>
      </c>
      <c r="B207" s="3">
        <v>48953</v>
      </c>
      <c r="C207" s="1">
        <f t="shared" si="37"/>
        <v>53.571800000000039</v>
      </c>
      <c r="D207" s="4">
        <v>4.8750000000000002E-2</v>
      </c>
      <c r="E207" s="5">
        <f t="shared" si="35"/>
        <v>1.392865500000001</v>
      </c>
      <c r="F207" s="1">
        <v>3.5714000000000001</v>
      </c>
      <c r="G207" s="1">
        <f t="shared" si="36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37"/>
        <v>50.000400000000042</v>
      </c>
      <c r="D208" s="4">
        <v>4.8750000000000002E-2</v>
      </c>
      <c r="E208" s="5">
        <f t="shared" si="35"/>
        <v>1.3058126250000011</v>
      </c>
      <c r="F208" s="1">
        <v>3.5714000000000001</v>
      </c>
      <c r="G208" s="1">
        <f t="shared" si="36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37"/>
        <v>46.429000000000045</v>
      </c>
      <c r="D209" s="4">
        <v>4.8750000000000002E-2</v>
      </c>
      <c r="E209" s="5">
        <f t="shared" si="35"/>
        <v>1.2187597500000011</v>
      </c>
      <c r="F209" s="1">
        <v>3.5714000000000001</v>
      </c>
      <c r="G209" s="1">
        <f t="shared" si="36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37"/>
        <v>42.857600000000048</v>
      </c>
      <c r="D210" s="4">
        <v>4.8750000000000002E-2</v>
      </c>
      <c r="E210" s="5">
        <f t="shared" si="35"/>
        <v>1.1317068750000012</v>
      </c>
      <c r="F210" s="1">
        <v>3.5714000000000001</v>
      </c>
      <c r="G210" s="1">
        <f t="shared" si="36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37"/>
        <v>39.286200000000051</v>
      </c>
      <c r="D211" s="4">
        <v>4.8750000000000002E-2</v>
      </c>
      <c r="E211" s="5">
        <f t="shared" si="35"/>
        <v>1.0446540000000013</v>
      </c>
      <c r="F211" s="1">
        <v>3.5714000000000001</v>
      </c>
      <c r="G211" s="1">
        <f t="shared" si="36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37"/>
        <v>35.714800000000054</v>
      </c>
      <c r="D212" s="4">
        <v>4.8750000000000002E-2</v>
      </c>
      <c r="E212" s="5">
        <f t="shared" si="35"/>
        <v>0.95760112500000127</v>
      </c>
      <c r="F212" s="1">
        <v>3.5714000000000001</v>
      </c>
      <c r="G212" s="1">
        <f t="shared" si="36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37"/>
        <v>32.143400000000057</v>
      </c>
      <c r="D213" s="4">
        <v>4.8750000000000002E-2</v>
      </c>
      <c r="E213" s="5">
        <f t="shared" si="35"/>
        <v>0.87054825000000136</v>
      </c>
      <c r="F213" s="1">
        <v>3.5714000000000001</v>
      </c>
      <c r="G213" s="1">
        <f t="shared" si="36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37"/>
        <v>28.572000000000056</v>
      </c>
      <c r="D214" s="4">
        <v>4.8750000000000002E-2</v>
      </c>
      <c r="E214" s="5">
        <f t="shared" si="35"/>
        <v>0.78349537500000155</v>
      </c>
      <c r="F214" s="1">
        <v>3.5714000000000001</v>
      </c>
      <c r="G214" s="1">
        <f t="shared" si="36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37"/>
        <v>25.000600000000055</v>
      </c>
      <c r="D215" s="4">
        <v>4.8750000000000002E-2</v>
      </c>
      <c r="E215" s="5">
        <f t="shared" si="35"/>
        <v>0.69644250000000141</v>
      </c>
      <c r="F215" s="1">
        <v>3.5714000000000001</v>
      </c>
      <c r="G215" s="1">
        <f t="shared" si="36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37"/>
        <v>21.429200000000055</v>
      </c>
      <c r="D216" s="4">
        <v>4.8750000000000002E-2</v>
      </c>
      <c r="E216" s="5">
        <f t="shared" ref="E216:E222" si="38">((D216*C215)/360)*DAYS360(B215,B216)</f>
        <v>0.60938962500000138</v>
      </c>
      <c r="F216" s="1">
        <v>3.5714000000000001</v>
      </c>
      <c r="G216" s="1">
        <f t="shared" ref="G216:G222" si="39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37"/>
        <v>17.857800000000054</v>
      </c>
      <c r="D217" s="4">
        <v>4.8750000000000002E-2</v>
      </c>
      <c r="E217" s="5">
        <f t="shared" si="38"/>
        <v>0.52233675000000135</v>
      </c>
      <c r="F217" s="1">
        <v>3.5714000000000001</v>
      </c>
      <c r="G217" s="1">
        <f t="shared" si="39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37"/>
        <v>14.286400000000054</v>
      </c>
      <c r="D218" s="4">
        <v>4.8750000000000002E-2</v>
      </c>
      <c r="E218" s="5">
        <f t="shared" si="38"/>
        <v>0.43528387500000132</v>
      </c>
      <c r="F218" s="1">
        <v>3.5714000000000001</v>
      </c>
      <c r="G218" s="1">
        <f t="shared" si="39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37"/>
        <v>10.715000000000053</v>
      </c>
      <c r="D219" s="4">
        <v>4.8750000000000002E-2</v>
      </c>
      <c r="E219" s="5">
        <f t="shared" si="38"/>
        <v>0.34823100000000135</v>
      </c>
      <c r="F219" s="1">
        <v>3.5714000000000001</v>
      </c>
      <c r="G219" s="1">
        <f t="shared" si="39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37"/>
        <v>7.1436000000000526</v>
      </c>
      <c r="D220" s="4">
        <v>4.8750000000000002E-2</v>
      </c>
      <c r="E220" s="5">
        <f t="shared" si="38"/>
        <v>0.26117812500000132</v>
      </c>
      <c r="F220" s="1">
        <v>3.5714000000000001</v>
      </c>
      <c r="G220" s="1">
        <f t="shared" si="39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37"/>
        <v>3.5722000000000524</v>
      </c>
      <c r="D221" s="4">
        <v>4.8750000000000002E-2</v>
      </c>
      <c r="E221" s="5">
        <f t="shared" si="38"/>
        <v>0.17412525000000129</v>
      </c>
      <c r="F221" s="1">
        <v>3.5714000000000001</v>
      </c>
      <c r="G221" s="1">
        <f t="shared" si="39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38"/>
        <v>8.7072375000001284E-2</v>
      </c>
      <c r="F222" s="1">
        <v>3.5722</v>
      </c>
      <c r="G222" s="1">
        <f t="shared" si="39"/>
        <v>3.6592723750000014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39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4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1" spans="1:7" x14ac:dyDescent="0.2">
      <c r="A11" s="2" t="s">
        <v>0</v>
      </c>
      <c r="B11" s="2" t="s">
        <v>1</v>
      </c>
      <c r="C11" s="2" t="s">
        <v>18</v>
      </c>
      <c r="D11" s="2" t="s">
        <v>19</v>
      </c>
      <c r="E11" s="2" t="s">
        <v>28</v>
      </c>
      <c r="F11" s="2" t="s">
        <v>21</v>
      </c>
    </row>
    <row r="12" spans="1:7" x14ac:dyDescent="0.2">
      <c r="A12" s="1" t="s">
        <v>76</v>
      </c>
      <c r="B12" s="1" t="s">
        <v>27</v>
      </c>
      <c r="C12" s="3">
        <v>45686</v>
      </c>
      <c r="D12" s="3">
        <v>46203</v>
      </c>
      <c r="E12" s="1">
        <v>10</v>
      </c>
      <c r="F12" s="4">
        <v>0</v>
      </c>
    </row>
    <row r="13" spans="1:7" x14ac:dyDescent="0.2">
      <c r="A13" s="2" t="s">
        <v>0</v>
      </c>
      <c r="B13" s="2" t="s">
        <v>1</v>
      </c>
      <c r="C13" s="2" t="s">
        <v>2</v>
      </c>
      <c r="D13" s="2" t="s">
        <v>3</v>
      </c>
      <c r="E13" s="2" t="s">
        <v>4</v>
      </c>
      <c r="F13" s="2" t="s">
        <v>5</v>
      </c>
      <c r="G13" s="2" t="s">
        <v>6</v>
      </c>
    </row>
    <row r="14" spans="1:7" x14ac:dyDescent="0.2">
      <c r="A14" s="1" t="s">
        <v>76</v>
      </c>
      <c r="B14" s="1" t="s">
        <v>8</v>
      </c>
      <c r="C14" s="3">
        <v>45686</v>
      </c>
      <c r="D14" s="3">
        <v>46203</v>
      </c>
      <c r="E14" s="1">
        <v>2.19</v>
      </c>
      <c r="F14" s="1">
        <f t="shared" ref="F14" si="0">((YEAR(D14)-YEAR(C14))*360+(MONTH(D14)-MONTH(C14))*30+(DAY(D14)-DAY(C14)))/30</f>
        <v>17.033333333333335</v>
      </c>
      <c r="G14" s="1">
        <f t="shared" ref="G14" si="1">100*(1+E14/100)^F14</f>
        <v>144.62933817985532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85</v>
      </c>
      <c r="B2" s="3">
        <v>45449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85</v>
      </c>
      <c r="B3" s="3">
        <v>45571</v>
      </c>
      <c r="C3" s="1">
        <f t="shared" ref="C3:C8" si="0">C2-F3</f>
        <v>100</v>
      </c>
      <c r="D3" s="4">
        <v>0.05</v>
      </c>
      <c r="E3" s="5">
        <f>((D3*C2)/365)*_xlfn.DAYS(B3,B2)</f>
        <v>1.6712328767123288</v>
      </c>
      <c r="F3" s="1">
        <v>0</v>
      </c>
      <c r="G3" s="1">
        <f t="shared" ref="G3:G8" si="1">F3+E3</f>
        <v>1.6712328767123288</v>
      </c>
    </row>
    <row r="4" spans="1:7" x14ac:dyDescent="0.2">
      <c r="A4" s="1" t="s">
        <v>85</v>
      </c>
      <c r="B4" s="3">
        <v>45694</v>
      </c>
      <c r="C4" s="1">
        <f t="shared" si="0"/>
        <v>100</v>
      </c>
      <c r="D4" s="4">
        <v>0.05</v>
      </c>
      <c r="E4" s="5">
        <f t="shared" ref="E4:E8" si="2">((D4*C3)/365)*_xlfn.DAYS(B4,B3)</f>
        <v>1.6849315068493149</v>
      </c>
      <c r="F4" s="1">
        <v>0</v>
      </c>
      <c r="G4" s="1">
        <f t="shared" si="1"/>
        <v>1.6849315068493149</v>
      </c>
    </row>
    <row r="5" spans="1:7" x14ac:dyDescent="0.2">
      <c r="A5" s="1" t="s">
        <v>85</v>
      </c>
      <c r="B5" s="3">
        <v>45814</v>
      </c>
      <c r="C5" s="1">
        <f t="shared" si="0"/>
        <v>100</v>
      </c>
      <c r="D5" s="4">
        <v>0.05</v>
      </c>
      <c r="E5" s="5">
        <f t="shared" si="2"/>
        <v>1.6438356164383561</v>
      </c>
      <c r="F5" s="1">
        <v>0</v>
      </c>
      <c r="G5" s="1">
        <f t="shared" si="1"/>
        <v>1.6438356164383561</v>
      </c>
    </row>
    <row r="6" spans="1:7" x14ac:dyDescent="0.2">
      <c r="A6" s="1" t="s">
        <v>85</v>
      </c>
      <c r="B6" s="3">
        <v>45936</v>
      </c>
      <c r="C6" s="1">
        <f t="shared" si="0"/>
        <v>100</v>
      </c>
      <c r="D6" s="4">
        <v>0.05</v>
      </c>
      <c r="E6" s="5">
        <f t="shared" si="2"/>
        <v>1.6712328767123288</v>
      </c>
      <c r="F6" s="1">
        <v>0</v>
      </c>
      <c r="G6" s="1">
        <f t="shared" si="1"/>
        <v>1.6712328767123288</v>
      </c>
    </row>
    <row r="7" spans="1:7" x14ac:dyDescent="0.2">
      <c r="A7" s="1" t="s">
        <v>85</v>
      </c>
      <c r="B7" s="3">
        <v>46059</v>
      </c>
      <c r="C7" s="1">
        <f t="shared" si="0"/>
        <v>100</v>
      </c>
      <c r="D7" s="4">
        <v>0.05</v>
      </c>
      <c r="E7" s="5">
        <f t="shared" si="2"/>
        <v>1.6849315068493149</v>
      </c>
      <c r="F7" s="1">
        <v>0</v>
      </c>
      <c r="G7" s="1">
        <f t="shared" si="1"/>
        <v>1.6849315068493149</v>
      </c>
    </row>
    <row r="8" spans="1:7" x14ac:dyDescent="0.2">
      <c r="A8" s="1" t="s">
        <v>85</v>
      </c>
      <c r="B8" s="3">
        <v>46179</v>
      </c>
      <c r="C8" s="1">
        <f t="shared" si="0"/>
        <v>0</v>
      </c>
      <c r="D8" s="4">
        <v>0.05</v>
      </c>
      <c r="E8" s="5">
        <f t="shared" si="2"/>
        <v>1.6438356164383561</v>
      </c>
      <c r="F8" s="1">
        <v>100</v>
      </c>
      <c r="G8" s="1">
        <f t="shared" si="1"/>
        <v>101.64383561643835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2026-07-10T20:00:33Z</dcterms:modified>
</cp:coreProperties>
</file>