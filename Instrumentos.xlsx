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granda/Desktop/Balanz/Monitores AI/Monitor Renta Fija ARG/"/>
    </mc:Choice>
  </mc:AlternateContent>
  <xr:revisionPtr revIDLastSave="0" documentId="13_ncr:1_{DA23EE3C-0AC3-B448-A4E3-C895CA219A7B}" xr6:coauthVersionLast="47" xr6:coauthVersionMax="47" xr10:uidLastSave="{00000000-0000-0000-0000-000000000000}"/>
  <bookViews>
    <workbookView xWindow="0" yWindow="760" windowWidth="29400" windowHeight="16940" activeTab="4" xr2:uid="{7C3A8D91-A832-4A46-9693-985FAB776CCF}"/>
  </bookViews>
  <sheets>
    <sheet name="LECAPS" sheetId="1" r:id="rId1"/>
    <sheet name="TASA FIJA" sheetId="2" r:id="rId2"/>
    <sheet name="CER" sheetId="3" r:id="rId3"/>
    <sheet name="TAMAR" sheetId="4" r:id="rId4"/>
    <sheet name="USD Linked" sheetId="5" r:id="rId5"/>
    <sheet name="USD Bonares" sheetId="7" r:id="rId6"/>
    <sheet name="USD Globales" sheetId="8" r:id="rId7"/>
    <sheet name="USD Bopreales" sheetId="9" r:id="rId8"/>
    <sheet name="Duales" sheetId="10" r:id="rId9"/>
    <sheet name="ON USD" sheetId="11" r:id="rId10"/>
    <sheet name="Subsoberanos" sheetId="12" r:id="rId11"/>
    <sheet name="ONs" sheetId="13" r:id="rId12"/>
    <sheet name="Flujo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7" i="7" l="1"/>
  <c r="G257" i="7" s="1"/>
  <c r="E258" i="7"/>
  <c r="G258" i="7" s="1"/>
  <c r="C258" i="7"/>
  <c r="E259" i="7"/>
  <c r="G259" i="7" s="1"/>
  <c r="E260" i="7"/>
  <c r="G260" i="7" s="1"/>
  <c r="C260" i="7"/>
  <c r="E262" i="7"/>
  <c r="G262" i="7" s="1"/>
  <c r="C262" i="7"/>
  <c r="E264" i="7"/>
  <c r="G264" i="7" s="1"/>
  <c r="C264" i="7"/>
  <c r="E228" i="7"/>
  <c r="G228" i="7" s="1"/>
  <c r="C256" i="7"/>
  <c r="E226" i="7"/>
  <c r="G226" i="7" s="1"/>
  <c r="G225" i="7"/>
  <c r="E154" i="7"/>
  <c r="F6" i="1"/>
  <c r="F7" i="1"/>
  <c r="F8" i="1"/>
  <c r="F9" i="1"/>
  <c r="F10" i="1"/>
  <c r="F11" i="1"/>
  <c r="F12" i="1"/>
  <c r="F13" i="1"/>
  <c r="F14" i="1"/>
  <c r="F15" i="1"/>
  <c r="F16" i="1"/>
  <c r="F17" i="1"/>
  <c r="F5" i="1"/>
  <c r="F4" i="1"/>
  <c r="F3" i="1"/>
  <c r="F2" i="1"/>
  <c r="G17" i="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37" i="11"/>
  <c r="B37" i="11"/>
  <c r="B38" i="11" s="1"/>
  <c r="B39" i="11" s="1"/>
  <c r="B40" i="11" s="1"/>
  <c r="B41" i="11" s="1"/>
  <c r="C57" i="11"/>
  <c r="C58" i="11" s="1"/>
  <c r="G56" i="11"/>
  <c r="C37" i="11"/>
  <c r="C38" i="11" s="1"/>
  <c r="G36" i="11"/>
  <c r="E22" i="11"/>
  <c r="G22" i="11" s="1"/>
  <c r="C22" i="11"/>
  <c r="E23" i="11" s="1"/>
  <c r="G23" i="11" s="1"/>
  <c r="G21" i="11"/>
  <c r="E12" i="11"/>
  <c r="G12" i="11" s="1"/>
  <c r="C12" i="11"/>
  <c r="E13" i="11" s="1"/>
  <c r="G13" i="11" s="1"/>
  <c r="G11" i="11"/>
  <c r="E4" i="11"/>
  <c r="G4" i="11" s="1"/>
  <c r="E3" i="11"/>
  <c r="G3" i="11" s="1"/>
  <c r="C3" i="11"/>
  <c r="C4" i="11" s="1"/>
  <c r="E5" i="11" s="1"/>
  <c r="G2" i="11"/>
  <c r="G16" i="1"/>
  <c r="F19" i="10"/>
  <c r="G19" i="10" s="1"/>
  <c r="F14" i="10"/>
  <c r="G14" i="10" s="1"/>
  <c r="E263" i="7" l="1"/>
  <c r="G263" i="7" s="1"/>
  <c r="E261" i="7"/>
  <c r="G261" i="7" s="1"/>
  <c r="E230" i="7"/>
  <c r="G230" i="7" s="1"/>
  <c r="E229" i="7"/>
  <c r="G229" i="7" s="1"/>
  <c r="E227" i="7"/>
  <c r="G227" i="7" s="1"/>
  <c r="E58" i="11"/>
  <c r="G58" i="11" s="1"/>
  <c r="B42" i="11"/>
  <c r="B43" i="11" s="1"/>
  <c r="E59" i="11"/>
  <c r="G59" i="11" s="1"/>
  <c r="E57" i="11"/>
  <c r="G57" i="11" s="1"/>
  <c r="C59" i="11"/>
  <c r="G39" i="11"/>
  <c r="G38" i="11"/>
  <c r="G37" i="11"/>
  <c r="C39" i="11"/>
  <c r="C23" i="11"/>
  <c r="C13" i="11"/>
  <c r="C5" i="11"/>
  <c r="E6" i="11" s="1"/>
  <c r="G5" i="11"/>
  <c r="E37" i="9"/>
  <c r="G37" i="9" s="1"/>
  <c r="E36" i="9"/>
  <c r="G36" i="9" s="1"/>
  <c r="C36" i="9"/>
  <c r="C37" i="9" s="1"/>
  <c r="G35" i="9"/>
  <c r="E35" i="9"/>
  <c r="E34" i="9"/>
  <c r="G34" i="9" s="1"/>
  <c r="E33" i="9"/>
  <c r="G33" i="9" s="1"/>
  <c r="G32" i="9"/>
  <c r="E27" i="9"/>
  <c r="G27" i="9" s="1"/>
  <c r="E26" i="9"/>
  <c r="G26" i="9" s="1"/>
  <c r="C26" i="9"/>
  <c r="C27" i="9" s="1"/>
  <c r="E25" i="9"/>
  <c r="G25" i="9" s="1"/>
  <c r="E24" i="9"/>
  <c r="G24" i="9" s="1"/>
  <c r="E23" i="9"/>
  <c r="G23" i="9" s="1"/>
  <c r="G22" i="9"/>
  <c r="E19" i="9"/>
  <c r="G19" i="9" s="1"/>
  <c r="E18" i="9"/>
  <c r="G18" i="9" s="1"/>
  <c r="C18" i="9"/>
  <c r="C19" i="9" s="1"/>
  <c r="E17" i="9"/>
  <c r="G17" i="9" s="1"/>
  <c r="E16" i="9"/>
  <c r="G16" i="9" s="1"/>
  <c r="E15" i="9"/>
  <c r="G15" i="9" s="1"/>
  <c r="E14" i="9"/>
  <c r="G14" i="9" s="1"/>
  <c r="E13" i="9"/>
  <c r="G13" i="9" s="1"/>
  <c r="G12" i="9"/>
  <c r="C8" i="9"/>
  <c r="E9" i="9" s="1"/>
  <c r="G9" i="9" s="1"/>
  <c r="E4" i="9"/>
  <c r="G4" i="9" s="1"/>
  <c r="E6" i="9"/>
  <c r="G6" i="9" s="1"/>
  <c r="E7" i="9"/>
  <c r="G7" i="9" s="1"/>
  <c r="E8" i="9"/>
  <c r="G8" i="9" s="1"/>
  <c r="E3" i="9"/>
  <c r="G3" i="9" s="1"/>
  <c r="G2" i="9"/>
  <c r="C165" i="8"/>
  <c r="C166" i="8" s="1"/>
  <c r="C167" i="8" s="1"/>
  <c r="C168" i="8" s="1"/>
  <c r="C169" i="8" s="1"/>
  <c r="C170" i="8" s="1"/>
  <c r="E158" i="8"/>
  <c r="G158" i="8" s="1"/>
  <c r="G157" i="8"/>
  <c r="C127" i="8"/>
  <c r="C126" i="8"/>
  <c r="E114" i="8"/>
  <c r="G114" i="8" s="1"/>
  <c r="G113" i="8"/>
  <c r="C89" i="8"/>
  <c r="C90" i="8" s="1"/>
  <c r="E77" i="8"/>
  <c r="G77" i="8" s="1"/>
  <c r="G76" i="8"/>
  <c r="C65" i="8"/>
  <c r="C66" i="8" s="1"/>
  <c r="C64" i="8"/>
  <c r="E46" i="8"/>
  <c r="G46" i="8" s="1"/>
  <c r="E45" i="8"/>
  <c r="G45" i="8" s="1"/>
  <c r="G44" i="8"/>
  <c r="C30" i="8"/>
  <c r="C31" i="8" s="1"/>
  <c r="C29" i="8"/>
  <c r="E24" i="8"/>
  <c r="G24" i="8" s="1"/>
  <c r="G23" i="8"/>
  <c r="E23" i="8"/>
  <c r="G22" i="8"/>
  <c r="C10" i="8"/>
  <c r="E4" i="8"/>
  <c r="G4" i="8" s="1"/>
  <c r="E3" i="8"/>
  <c r="G3" i="8" s="1"/>
  <c r="G2" i="8"/>
  <c r="C194" i="7"/>
  <c r="E183" i="7"/>
  <c r="G183" i="7" s="1"/>
  <c r="E182" i="7"/>
  <c r="G182" i="7" s="1"/>
  <c r="G181" i="7"/>
  <c r="C157" i="7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E145" i="7"/>
  <c r="G145" i="7" s="1"/>
  <c r="G144" i="7"/>
  <c r="C132" i="7"/>
  <c r="C133" i="7" s="1"/>
  <c r="C134" i="7" s="1"/>
  <c r="C135" i="7" s="1"/>
  <c r="C136" i="7" s="1"/>
  <c r="C137" i="7" s="1"/>
  <c r="E119" i="7"/>
  <c r="G119" i="7" s="1"/>
  <c r="E118" i="7"/>
  <c r="G118" i="7" s="1"/>
  <c r="E113" i="7"/>
  <c r="G113" i="7" s="1"/>
  <c r="G112" i="7"/>
  <c r="C97" i="7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E91" i="7"/>
  <c r="G91" i="7" s="1"/>
  <c r="G90" i="7"/>
  <c r="C87" i="7"/>
  <c r="E81" i="7"/>
  <c r="G81" i="7" s="1"/>
  <c r="E80" i="7"/>
  <c r="G80" i="7" s="1"/>
  <c r="G79" i="7"/>
  <c r="C68" i="7"/>
  <c r="C69" i="7" s="1"/>
  <c r="C70" i="7" s="1"/>
  <c r="C67" i="7"/>
  <c r="E61" i="7"/>
  <c r="G61" i="7" s="1"/>
  <c r="E60" i="7"/>
  <c r="G60" i="7" s="1"/>
  <c r="G59" i="7"/>
  <c r="C56" i="7"/>
  <c r="E44" i="7"/>
  <c r="G44" i="7" s="1"/>
  <c r="E45" i="7"/>
  <c r="G45" i="7" s="1"/>
  <c r="E46" i="7"/>
  <c r="G46" i="7" s="1"/>
  <c r="E47" i="7"/>
  <c r="G47" i="7" s="1"/>
  <c r="E48" i="7"/>
  <c r="G48" i="7" s="1"/>
  <c r="E49" i="7"/>
  <c r="G49" i="7" s="1"/>
  <c r="E50" i="7"/>
  <c r="G50" i="7" s="1"/>
  <c r="E51" i="7"/>
  <c r="G51" i="7" s="1"/>
  <c r="E52" i="7"/>
  <c r="G52" i="7" s="1"/>
  <c r="E53" i="7"/>
  <c r="G53" i="7" s="1"/>
  <c r="E54" i="7"/>
  <c r="G54" i="7" s="1"/>
  <c r="E55" i="7"/>
  <c r="G55" i="7" s="1"/>
  <c r="E56" i="7"/>
  <c r="G56" i="7" s="1"/>
  <c r="E43" i="7"/>
  <c r="G43" i="7" s="1"/>
  <c r="E42" i="7"/>
  <c r="G42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E34" i="7"/>
  <c r="G34" i="7" s="1"/>
  <c r="E33" i="7"/>
  <c r="G33" i="7" s="1"/>
  <c r="E32" i="7"/>
  <c r="G32" i="7" s="1"/>
  <c r="E31" i="7"/>
  <c r="G31" i="7" s="1"/>
  <c r="E30" i="7"/>
  <c r="G30" i="7" s="1"/>
  <c r="E29" i="7"/>
  <c r="G29" i="7" s="1"/>
  <c r="E28" i="7"/>
  <c r="G28" i="7" s="1"/>
  <c r="E27" i="7"/>
  <c r="G27" i="7" s="1"/>
  <c r="E26" i="7"/>
  <c r="G26" i="7" s="1"/>
  <c r="G25" i="7"/>
  <c r="C22" i="7"/>
  <c r="E4" i="7"/>
  <c r="G4" i="7" s="1"/>
  <c r="E5" i="7"/>
  <c r="G5" i="7" s="1"/>
  <c r="E6" i="7"/>
  <c r="G6" i="7" s="1"/>
  <c r="E7" i="7"/>
  <c r="G7" i="7" s="1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2" i="7"/>
  <c r="G22" i="7" s="1"/>
  <c r="E3" i="7"/>
  <c r="G3" i="7" s="1"/>
  <c r="G2" i="7"/>
  <c r="G10" i="1"/>
  <c r="G11" i="1"/>
  <c r="G12" i="1"/>
  <c r="G13" i="1"/>
  <c r="G14" i="1"/>
  <c r="G15" i="1"/>
  <c r="G2" i="1"/>
  <c r="G3" i="1"/>
  <c r="G4" i="1"/>
  <c r="G5" i="1"/>
  <c r="G6" i="1"/>
  <c r="G7" i="1"/>
  <c r="C35" i="2"/>
  <c r="C22" i="2"/>
  <c r="E26" i="2"/>
  <c r="G26" i="2" s="1"/>
  <c r="E27" i="2"/>
  <c r="G27" i="2" s="1"/>
  <c r="G25" i="2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3" i="2"/>
  <c r="G2" i="2"/>
  <c r="G8" i="1"/>
  <c r="G9" i="1"/>
  <c r="E60" i="11" l="1"/>
  <c r="G60" i="11" s="1"/>
  <c r="C60" i="11"/>
  <c r="B44" i="11"/>
  <c r="G40" i="11"/>
  <c r="C40" i="11"/>
  <c r="E24" i="11"/>
  <c r="G24" i="11" s="1"/>
  <c r="C24" i="11"/>
  <c r="E14" i="11"/>
  <c r="G14" i="11" s="1"/>
  <c r="C14" i="11"/>
  <c r="C6" i="11"/>
  <c r="E7" i="11" s="1"/>
  <c r="G6" i="11"/>
  <c r="E38" i="9"/>
  <c r="G38" i="9" s="1"/>
  <c r="C38" i="9"/>
  <c r="E28" i="9"/>
  <c r="G28" i="9" s="1"/>
  <c r="C28" i="9"/>
  <c r="C9" i="9"/>
  <c r="E5" i="9"/>
  <c r="G5" i="9" s="1"/>
  <c r="E160" i="8"/>
  <c r="G160" i="8" s="1"/>
  <c r="C171" i="8"/>
  <c r="E159" i="8"/>
  <c r="G159" i="8" s="1"/>
  <c r="C91" i="8"/>
  <c r="E48" i="8"/>
  <c r="G48" i="8" s="1"/>
  <c r="C67" i="8"/>
  <c r="E116" i="8"/>
  <c r="G116" i="8" s="1"/>
  <c r="E78" i="8"/>
  <c r="G78" i="8" s="1"/>
  <c r="E47" i="8"/>
  <c r="G47" i="8" s="1"/>
  <c r="E115" i="8"/>
  <c r="G115" i="8" s="1"/>
  <c r="C128" i="8"/>
  <c r="E26" i="8"/>
  <c r="G26" i="8" s="1"/>
  <c r="E25" i="8"/>
  <c r="G25" i="8" s="1"/>
  <c r="C32" i="8"/>
  <c r="C11" i="8"/>
  <c r="E185" i="7"/>
  <c r="G185" i="7" s="1"/>
  <c r="E184" i="7"/>
  <c r="G184" i="7" s="1"/>
  <c r="C195" i="7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E222" i="7" s="1"/>
  <c r="G222" i="7" s="1"/>
  <c r="E148" i="7"/>
  <c r="G148" i="7" s="1"/>
  <c r="E147" i="7"/>
  <c r="G147" i="7" s="1"/>
  <c r="E146" i="7"/>
  <c r="G146" i="7" s="1"/>
  <c r="E138" i="7"/>
  <c r="G138" i="7" s="1"/>
  <c r="C138" i="7"/>
  <c r="C139" i="7" s="1"/>
  <c r="C140" i="7" s="1"/>
  <c r="C141" i="7" s="1"/>
  <c r="E135" i="7"/>
  <c r="G135" i="7" s="1"/>
  <c r="E139" i="7"/>
  <c r="G139" i="7" s="1"/>
  <c r="E141" i="7"/>
  <c r="G141" i="7" s="1"/>
  <c r="E140" i="7"/>
  <c r="G140" i="7" s="1"/>
  <c r="E137" i="7"/>
  <c r="G137" i="7" s="1"/>
  <c r="E136" i="7"/>
  <c r="G136" i="7" s="1"/>
  <c r="E129" i="7"/>
  <c r="G129" i="7" s="1"/>
  <c r="E127" i="7"/>
  <c r="G127" i="7" s="1"/>
  <c r="E128" i="7"/>
  <c r="G128" i="7" s="1"/>
  <c r="E120" i="7"/>
  <c r="G120" i="7" s="1"/>
  <c r="E115" i="7"/>
  <c r="G115" i="7" s="1"/>
  <c r="E114" i="7"/>
  <c r="G114" i="7" s="1"/>
  <c r="E104" i="7"/>
  <c r="G104" i="7" s="1"/>
  <c r="E95" i="7"/>
  <c r="G95" i="7" s="1"/>
  <c r="E94" i="7"/>
  <c r="G94" i="7" s="1"/>
  <c r="E93" i="7"/>
  <c r="G93" i="7" s="1"/>
  <c r="E92" i="7"/>
  <c r="G92" i="7" s="1"/>
  <c r="E84" i="7"/>
  <c r="G84" i="7" s="1"/>
  <c r="E82" i="7"/>
  <c r="G82" i="7" s="1"/>
  <c r="E83" i="7"/>
  <c r="G83" i="7" s="1"/>
  <c r="C71" i="7"/>
  <c r="C72" i="7" s="1"/>
  <c r="C73" i="7" s="1"/>
  <c r="C74" i="7" s="1"/>
  <c r="C75" i="7" s="1"/>
  <c r="C76" i="7" s="1"/>
  <c r="E71" i="7"/>
  <c r="G71" i="7" s="1"/>
  <c r="E72" i="7"/>
  <c r="G72" i="7" s="1"/>
  <c r="E73" i="7"/>
  <c r="G73" i="7" s="1"/>
  <c r="E64" i="7"/>
  <c r="G64" i="7" s="1"/>
  <c r="E63" i="7"/>
  <c r="G63" i="7" s="1"/>
  <c r="E62" i="7"/>
  <c r="G62" i="7" s="1"/>
  <c r="G3" i="2"/>
  <c r="E231" i="7" l="1"/>
  <c r="G231" i="7" s="1"/>
  <c r="E216" i="7"/>
  <c r="G216" i="7" s="1"/>
  <c r="E25" i="11"/>
  <c r="G25" i="11" s="1"/>
  <c r="C25" i="11"/>
  <c r="C41" i="11"/>
  <c r="G41" i="11"/>
  <c r="C61" i="11"/>
  <c r="E61" i="11"/>
  <c r="G61" i="11" s="1"/>
  <c r="B45" i="11"/>
  <c r="E15" i="11"/>
  <c r="G15" i="11" s="1"/>
  <c r="C15" i="11"/>
  <c r="G7" i="11"/>
  <c r="C7" i="11"/>
  <c r="E8" i="11" s="1"/>
  <c r="E39" i="9"/>
  <c r="G39" i="9" s="1"/>
  <c r="C39" i="9"/>
  <c r="E29" i="9"/>
  <c r="G29" i="9" s="1"/>
  <c r="C29" i="9"/>
  <c r="C172" i="8"/>
  <c r="E161" i="8"/>
  <c r="G161" i="8" s="1"/>
  <c r="C68" i="8"/>
  <c r="E79" i="8"/>
  <c r="G79" i="8" s="1"/>
  <c r="E117" i="8"/>
  <c r="G117" i="8" s="1"/>
  <c r="C129" i="8"/>
  <c r="C92" i="8"/>
  <c r="E49" i="8"/>
  <c r="G49" i="8" s="1"/>
  <c r="C33" i="8"/>
  <c r="C12" i="8"/>
  <c r="E5" i="8"/>
  <c r="G5" i="8" s="1"/>
  <c r="E217" i="7"/>
  <c r="G217" i="7" s="1"/>
  <c r="E130" i="7"/>
  <c r="G130" i="7" s="1"/>
  <c r="E122" i="7"/>
  <c r="G122" i="7" s="1"/>
  <c r="E121" i="7"/>
  <c r="G121" i="7" s="1"/>
  <c r="E117" i="7"/>
  <c r="G117" i="7" s="1"/>
  <c r="E116" i="7"/>
  <c r="G116" i="7" s="1"/>
  <c r="E106" i="7"/>
  <c r="G106" i="7" s="1"/>
  <c r="E105" i="7"/>
  <c r="G105" i="7" s="1"/>
  <c r="E96" i="7"/>
  <c r="G96" i="7" s="1"/>
  <c r="E75" i="7"/>
  <c r="G75" i="7" s="1"/>
  <c r="E74" i="7"/>
  <c r="G74" i="7" s="1"/>
  <c r="E65" i="7"/>
  <c r="G65" i="7" s="1"/>
  <c r="E29" i="2"/>
  <c r="G29" i="2" s="1"/>
  <c r="E28" i="2"/>
  <c r="G28" i="2" s="1"/>
  <c r="E232" i="7" l="1"/>
  <c r="G232" i="7" s="1"/>
  <c r="C62" i="11"/>
  <c r="E62" i="11"/>
  <c r="G62" i="11" s="1"/>
  <c r="C42" i="11"/>
  <c r="G42" i="11"/>
  <c r="C26" i="11"/>
  <c r="E26" i="11"/>
  <c r="G26" i="11" s="1"/>
  <c r="B46" i="11"/>
  <c r="E16" i="11"/>
  <c r="G16" i="11" s="1"/>
  <c r="C16" i="11"/>
  <c r="G8" i="11"/>
  <c r="C8" i="11"/>
  <c r="E163" i="8"/>
  <c r="G163" i="8" s="1"/>
  <c r="E162" i="8"/>
  <c r="G162" i="8" s="1"/>
  <c r="C173" i="8"/>
  <c r="C69" i="8"/>
  <c r="C93" i="8"/>
  <c r="E118" i="8"/>
  <c r="G118" i="8" s="1"/>
  <c r="E50" i="8"/>
  <c r="G50" i="8" s="1"/>
  <c r="C130" i="8"/>
  <c r="E80" i="8"/>
  <c r="G80" i="8" s="1"/>
  <c r="E27" i="8"/>
  <c r="G27" i="8" s="1"/>
  <c r="C34" i="8"/>
  <c r="C13" i="8"/>
  <c r="E7" i="8"/>
  <c r="G7" i="8" s="1"/>
  <c r="E6" i="8"/>
  <c r="G6" i="8" s="1"/>
  <c r="E219" i="7"/>
  <c r="G219" i="7" s="1"/>
  <c r="E218" i="7"/>
  <c r="G218" i="7" s="1"/>
  <c r="E187" i="7"/>
  <c r="G187" i="7" s="1"/>
  <c r="E186" i="7"/>
  <c r="G186" i="7" s="1"/>
  <c r="E149" i="7"/>
  <c r="G149" i="7" s="1"/>
  <c r="E131" i="7"/>
  <c r="G131" i="7" s="1"/>
  <c r="E123" i="7"/>
  <c r="G123" i="7" s="1"/>
  <c r="E107" i="7"/>
  <c r="G107" i="7" s="1"/>
  <c r="E97" i="7"/>
  <c r="G97" i="7" s="1"/>
  <c r="E86" i="7"/>
  <c r="G86" i="7" s="1"/>
  <c r="E85" i="7"/>
  <c r="G85" i="7" s="1"/>
  <c r="E76" i="7"/>
  <c r="G76" i="7" s="1"/>
  <c r="E66" i="7"/>
  <c r="G66" i="7" s="1"/>
  <c r="E30" i="2"/>
  <c r="G30" i="2" s="1"/>
  <c r="E234" i="7" l="1"/>
  <c r="G234" i="7" s="1"/>
  <c r="E233" i="7"/>
  <c r="G233" i="7" s="1"/>
  <c r="C27" i="11"/>
  <c r="E27" i="11"/>
  <c r="G27" i="11" s="1"/>
  <c r="C43" i="11"/>
  <c r="G43" i="11"/>
  <c r="C63" i="11"/>
  <c r="E63" i="11"/>
  <c r="G63" i="11" s="1"/>
  <c r="B47" i="11"/>
  <c r="E17" i="11"/>
  <c r="G17" i="11" s="1"/>
  <c r="C17" i="11"/>
  <c r="C174" i="8"/>
  <c r="E164" i="8"/>
  <c r="G164" i="8" s="1"/>
  <c r="C131" i="8"/>
  <c r="E119" i="8"/>
  <c r="G119" i="8" s="1"/>
  <c r="C94" i="8"/>
  <c r="C70" i="8"/>
  <c r="E51" i="8"/>
  <c r="G51" i="8" s="1"/>
  <c r="E81" i="8"/>
  <c r="G81" i="8" s="1"/>
  <c r="E29" i="8"/>
  <c r="G29" i="8" s="1"/>
  <c r="C35" i="8"/>
  <c r="E28" i="8"/>
  <c r="G28" i="8" s="1"/>
  <c r="C14" i="8"/>
  <c r="E220" i="7"/>
  <c r="G220" i="7" s="1"/>
  <c r="E188" i="7"/>
  <c r="G188" i="7" s="1"/>
  <c r="E150" i="7"/>
  <c r="G150" i="7" s="1"/>
  <c r="E132" i="7"/>
  <c r="G132" i="7" s="1"/>
  <c r="E124" i="7"/>
  <c r="G124" i="7" s="1"/>
  <c r="E108" i="7"/>
  <c r="G108" i="7" s="1"/>
  <c r="E98" i="7"/>
  <c r="G98" i="7" s="1"/>
  <c r="E87" i="7"/>
  <c r="G87" i="7" s="1"/>
  <c r="E67" i="7"/>
  <c r="G67" i="7" s="1"/>
  <c r="E31" i="2"/>
  <c r="G31" i="2" s="1"/>
  <c r="E235" i="7" l="1"/>
  <c r="G235" i="7" s="1"/>
  <c r="C64" i="11"/>
  <c r="E64" i="11"/>
  <c r="G64" i="11" s="1"/>
  <c r="C44" i="11"/>
  <c r="G44" i="11"/>
  <c r="C28" i="11"/>
  <c r="E28" i="11"/>
  <c r="G28" i="11" s="1"/>
  <c r="B48" i="11"/>
  <c r="C18" i="11"/>
  <c r="E18" i="11"/>
  <c r="G18" i="11" s="1"/>
  <c r="C175" i="8"/>
  <c r="C95" i="8"/>
  <c r="E82" i="8"/>
  <c r="G82" i="8" s="1"/>
  <c r="C132" i="8"/>
  <c r="C71" i="8"/>
  <c r="E52" i="8"/>
  <c r="G52" i="8" s="1"/>
  <c r="E120" i="8"/>
  <c r="G120" i="8" s="1"/>
  <c r="C36" i="8"/>
  <c r="C15" i="8"/>
  <c r="E8" i="8"/>
  <c r="G8" i="8" s="1"/>
  <c r="E221" i="7"/>
  <c r="G221" i="7" s="1"/>
  <c r="E151" i="7"/>
  <c r="G151" i="7" s="1"/>
  <c r="E125" i="7"/>
  <c r="G125" i="7" s="1"/>
  <c r="E109" i="7"/>
  <c r="G109" i="7" s="1"/>
  <c r="E68" i="7"/>
  <c r="G68" i="7" s="1"/>
  <c r="E32" i="2"/>
  <c r="G32" i="2" s="1"/>
  <c r="E236" i="7" l="1"/>
  <c r="G236" i="7" s="1"/>
  <c r="C29" i="11"/>
  <c r="E29" i="11"/>
  <c r="G29" i="11" s="1"/>
  <c r="C45" i="11"/>
  <c r="G45" i="11"/>
  <c r="C65" i="11"/>
  <c r="E65" i="11"/>
  <c r="G65" i="11" s="1"/>
  <c r="B49" i="11"/>
  <c r="C176" i="8"/>
  <c r="E165" i="8"/>
  <c r="G165" i="8" s="1"/>
  <c r="C133" i="8"/>
  <c r="C72" i="8"/>
  <c r="E84" i="8"/>
  <c r="G84" i="8" s="1"/>
  <c r="E53" i="8"/>
  <c r="G53" i="8" s="1"/>
  <c r="E122" i="8"/>
  <c r="G122" i="8" s="1"/>
  <c r="E83" i="8"/>
  <c r="G83" i="8" s="1"/>
  <c r="E121" i="8"/>
  <c r="G121" i="8" s="1"/>
  <c r="C96" i="8"/>
  <c r="E31" i="8"/>
  <c r="G31" i="8" s="1"/>
  <c r="E30" i="8"/>
  <c r="G30" i="8" s="1"/>
  <c r="C37" i="8"/>
  <c r="C16" i="8"/>
  <c r="E10" i="8"/>
  <c r="G10" i="8" s="1"/>
  <c r="E9" i="8"/>
  <c r="G9" i="8" s="1"/>
  <c r="E189" i="7"/>
  <c r="G189" i="7" s="1"/>
  <c r="E152" i="7"/>
  <c r="G152" i="7" s="1"/>
  <c r="E134" i="7"/>
  <c r="G134" i="7" s="1"/>
  <c r="E133" i="7"/>
  <c r="G133" i="7" s="1"/>
  <c r="E126" i="7"/>
  <c r="G126" i="7" s="1"/>
  <c r="E99" i="7"/>
  <c r="G99" i="7" s="1"/>
  <c r="E69" i="7"/>
  <c r="G69" i="7" s="1"/>
  <c r="E33" i="2"/>
  <c r="G33" i="2" s="1"/>
  <c r="E237" i="7" l="1"/>
  <c r="G237" i="7" s="1"/>
  <c r="C66" i="11"/>
  <c r="E66" i="11"/>
  <c r="G66" i="11" s="1"/>
  <c r="C46" i="11"/>
  <c r="G46" i="11"/>
  <c r="C30" i="11"/>
  <c r="E30" i="11"/>
  <c r="G30" i="11" s="1"/>
  <c r="B50" i="11"/>
  <c r="E166" i="8"/>
  <c r="G166" i="8" s="1"/>
  <c r="C177" i="8"/>
  <c r="C97" i="8"/>
  <c r="C73" i="8"/>
  <c r="C134" i="8"/>
  <c r="E123" i="8"/>
  <c r="G123" i="8" s="1"/>
  <c r="C38" i="8"/>
  <c r="E32" i="8"/>
  <c r="G32" i="8" s="1"/>
  <c r="E11" i="8"/>
  <c r="G11" i="8" s="1"/>
  <c r="C17" i="8"/>
  <c r="E190" i="7"/>
  <c r="G190" i="7" s="1"/>
  <c r="E153" i="7"/>
  <c r="G153" i="7" s="1"/>
  <c r="E101" i="7"/>
  <c r="G101" i="7" s="1"/>
  <c r="E100" i="7"/>
  <c r="G100" i="7" s="1"/>
  <c r="E70" i="7"/>
  <c r="G70" i="7" s="1"/>
  <c r="E34" i="2"/>
  <c r="G34" i="2" s="1"/>
  <c r="E238" i="7" l="1"/>
  <c r="G238" i="7" s="1"/>
  <c r="C31" i="11"/>
  <c r="E31" i="11"/>
  <c r="G31" i="11" s="1"/>
  <c r="C47" i="11"/>
  <c r="G47" i="11"/>
  <c r="C67" i="11"/>
  <c r="E67" i="11"/>
  <c r="G67" i="11" s="1"/>
  <c r="B51" i="11"/>
  <c r="C178" i="8"/>
  <c r="E168" i="8"/>
  <c r="G168" i="8" s="1"/>
  <c r="E167" i="8"/>
  <c r="G167" i="8" s="1"/>
  <c r="E55" i="8"/>
  <c r="G55" i="8" s="1"/>
  <c r="E86" i="8"/>
  <c r="G86" i="8" s="1"/>
  <c r="E85" i="8"/>
  <c r="G85" i="8" s="1"/>
  <c r="E54" i="8"/>
  <c r="G54" i="8" s="1"/>
  <c r="C135" i="8"/>
  <c r="C98" i="8"/>
  <c r="C39" i="8"/>
  <c r="E33" i="8"/>
  <c r="G33" i="8" s="1"/>
  <c r="C18" i="8"/>
  <c r="E12" i="8"/>
  <c r="G12" i="8" s="1"/>
  <c r="E191" i="7"/>
  <c r="G191" i="7" s="1"/>
  <c r="E155" i="7"/>
  <c r="G155" i="7" s="1"/>
  <c r="G154" i="7"/>
  <c r="E102" i="7"/>
  <c r="G102" i="7" s="1"/>
  <c r="E35" i="2"/>
  <c r="G35" i="2" s="1"/>
  <c r="E239" i="7" l="1"/>
  <c r="G239" i="7" s="1"/>
  <c r="C48" i="11"/>
  <c r="G48" i="11"/>
  <c r="C68" i="11"/>
  <c r="E68" i="11"/>
  <c r="G68" i="11" s="1"/>
  <c r="C32" i="11"/>
  <c r="E32" i="11"/>
  <c r="G32" i="11" s="1"/>
  <c r="B52" i="11"/>
  <c r="C179" i="8"/>
  <c r="E124" i="8"/>
  <c r="G124" i="8" s="1"/>
  <c r="C99" i="8"/>
  <c r="E87" i="8"/>
  <c r="G87" i="8" s="1"/>
  <c r="C136" i="8"/>
  <c r="E34" i="8"/>
  <c r="G34" i="8" s="1"/>
  <c r="C40" i="8"/>
  <c r="E13" i="8"/>
  <c r="G13" i="8" s="1"/>
  <c r="C19" i="8"/>
  <c r="E192" i="7"/>
  <c r="G192" i="7" s="1"/>
  <c r="E174" i="7"/>
  <c r="G174" i="7" s="1"/>
  <c r="E156" i="7"/>
  <c r="G156" i="7" s="1"/>
  <c r="E103" i="7"/>
  <c r="G103" i="7" s="1"/>
  <c r="C69" i="11" l="1"/>
  <c r="E69" i="11"/>
  <c r="G69" i="11" s="1"/>
  <c r="C33" i="11"/>
  <c r="E33" i="11"/>
  <c r="G33" i="11" s="1"/>
  <c r="C49" i="11"/>
  <c r="G49" i="11"/>
  <c r="B53" i="11"/>
  <c r="C180" i="8"/>
  <c r="E169" i="8"/>
  <c r="G169" i="8" s="1"/>
  <c r="C100" i="8"/>
  <c r="E88" i="8"/>
  <c r="G88" i="8" s="1"/>
  <c r="E56" i="8"/>
  <c r="G56" i="8" s="1"/>
  <c r="C137" i="8"/>
  <c r="E125" i="8"/>
  <c r="G125" i="8" s="1"/>
  <c r="C41" i="8"/>
  <c r="E35" i="8"/>
  <c r="G35" i="8" s="1"/>
  <c r="E14" i="8"/>
  <c r="G14" i="8" s="1"/>
  <c r="E193" i="7"/>
  <c r="G193" i="7" s="1"/>
  <c r="E175" i="7"/>
  <c r="G175" i="7" s="1"/>
  <c r="E240" i="7" l="1"/>
  <c r="G240" i="7" s="1"/>
  <c r="C50" i="11"/>
  <c r="G50" i="11"/>
  <c r="C70" i="11"/>
  <c r="E70" i="11"/>
  <c r="G70" i="11" s="1"/>
  <c r="E171" i="8"/>
  <c r="G171" i="8" s="1"/>
  <c r="E170" i="8"/>
  <c r="G170" i="8" s="1"/>
  <c r="C181" i="8"/>
  <c r="E127" i="8"/>
  <c r="G127" i="8" s="1"/>
  <c r="E126" i="8"/>
  <c r="G126" i="8" s="1"/>
  <c r="C138" i="8"/>
  <c r="C101" i="8"/>
  <c r="E58" i="8"/>
  <c r="G58" i="8" s="1"/>
  <c r="E89" i="8"/>
  <c r="G89" i="8" s="1"/>
  <c r="E57" i="8"/>
  <c r="G57" i="8" s="1"/>
  <c r="E36" i="8"/>
  <c r="G36" i="8" s="1"/>
  <c r="E15" i="8"/>
  <c r="G15" i="8" s="1"/>
  <c r="E195" i="7"/>
  <c r="G195" i="7" s="1"/>
  <c r="E194" i="7"/>
  <c r="G194" i="7" s="1"/>
  <c r="E176" i="7"/>
  <c r="G176" i="7" s="1"/>
  <c r="E157" i="7"/>
  <c r="G157" i="7" s="1"/>
  <c r="E241" i="7" l="1"/>
  <c r="G241" i="7" s="1"/>
  <c r="C71" i="11"/>
  <c r="E71" i="11"/>
  <c r="G71" i="11" s="1"/>
  <c r="C51" i="11"/>
  <c r="G51" i="11"/>
  <c r="C182" i="8"/>
  <c r="C102" i="8"/>
  <c r="C139" i="8"/>
  <c r="E128" i="8"/>
  <c r="G128" i="8" s="1"/>
  <c r="E16" i="8"/>
  <c r="G16" i="8" s="1"/>
  <c r="E196" i="7"/>
  <c r="G196" i="7" s="1"/>
  <c r="E177" i="7"/>
  <c r="G177" i="7" s="1"/>
  <c r="E158" i="7"/>
  <c r="G158" i="7" s="1"/>
  <c r="E242" i="7" l="1"/>
  <c r="G242" i="7" s="1"/>
  <c r="C52" i="11"/>
  <c r="G52" i="11"/>
  <c r="C72" i="11"/>
  <c r="E72" i="11"/>
  <c r="G72" i="11" s="1"/>
  <c r="E173" i="8"/>
  <c r="G173" i="8" s="1"/>
  <c r="E172" i="8"/>
  <c r="G172" i="8" s="1"/>
  <c r="C183" i="8"/>
  <c r="E91" i="8"/>
  <c r="G91" i="8" s="1"/>
  <c r="E60" i="8"/>
  <c r="G60" i="8" s="1"/>
  <c r="E90" i="8"/>
  <c r="G90" i="8" s="1"/>
  <c r="C140" i="8"/>
  <c r="E59" i="8"/>
  <c r="G59" i="8" s="1"/>
  <c r="E129" i="8"/>
  <c r="G129" i="8" s="1"/>
  <c r="C103" i="8"/>
  <c r="E37" i="8"/>
  <c r="G37" i="8" s="1"/>
  <c r="E17" i="8"/>
  <c r="G17" i="8" s="1"/>
  <c r="E197" i="7"/>
  <c r="G197" i="7" s="1"/>
  <c r="E178" i="7"/>
  <c r="G178" i="7" s="1"/>
  <c r="E159" i="7"/>
  <c r="G159" i="7" s="1"/>
  <c r="E243" i="7" l="1"/>
  <c r="G243" i="7" s="1"/>
  <c r="C53" i="11"/>
  <c r="G53" i="11"/>
  <c r="C184" i="8"/>
  <c r="E174" i="8"/>
  <c r="G174" i="8" s="1"/>
  <c r="C141" i="8"/>
  <c r="C104" i="8"/>
  <c r="E92" i="8"/>
  <c r="G92" i="8" s="1"/>
  <c r="E38" i="8"/>
  <c r="G38" i="8" s="1"/>
  <c r="E18" i="8"/>
  <c r="G18" i="8" s="1"/>
  <c r="E198" i="7"/>
  <c r="G198" i="7" s="1"/>
  <c r="E160" i="7"/>
  <c r="G160" i="7" s="1"/>
  <c r="E245" i="7" l="1"/>
  <c r="G245" i="7" s="1"/>
  <c r="E244" i="7"/>
  <c r="G244" i="7" s="1"/>
  <c r="E175" i="8"/>
  <c r="G175" i="8" s="1"/>
  <c r="C185" i="8"/>
  <c r="E131" i="8"/>
  <c r="G131" i="8" s="1"/>
  <c r="E130" i="8"/>
  <c r="G130" i="8" s="1"/>
  <c r="C105" i="8"/>
  <c r="E61" i="8"/>
  <c r="G61" i="8" s="1"/>
  <c r="C142" i="8"/>
  <c r="E39" i="8"/>
  <c r="G39" i="8" s="1"/>
  <c r="E19" i="8"/>
  <c r="G19" i="8" s="1"/>
  <c r="E199" i="7"/>
  <c r="G199" i="7" s="1"/>
  <c r="E161" i="7"/>
  <c r="G161" i="7" s="1"/>
  <c r="C186" i="8" l="1"/>
  <c r="E94" i="8"/>
  <c r="G94" i="8" s="1"/>
  <c r="E63" i="8"/>
  <c r="G63" i="8" s="1"/>
  <c r="E62" i="8"/>
  <c r="G62" i="8" s="1"/>
  <c r="C106" i="8"/>
  <c r="E93" i="8"/>
  <c r="G93" i="8" s="1"/>
  <c r="C143" i="8"/>
  <c r="E41" i="8"/>
  <c r="G41" i="8" s="1"/>
  <c r="E40" i="8"/>
  <c r="G40" i="8" s="1"/>
  <c r="E163" i="7"/>
  <c r="G163" i="7" s="1"/>
  <c r="E162" i="7"/>
  <c r="G162" i="7" s="1"/>
  <c r="E246" i="7" l="1"/>
  <c r="G246" i="7" s="1"/>
  <c r="E177" i="8"/>
  <c r="G177" i="8" s="1"/>
  <c r="E176" i="8"/>
  <c r="G176" i="8" s="1"/>
  <c r="C187" i="8"/>
  <c r="C107" i="8"/>
  <c r="E132" i="8"/>
  <c r="G132" i="8" s="1"/>
  <c r="C144" i="8"/>
  <c r="E95" i="8"/>
  <c r="G95" i="8" s="1"/>
  <c r="E201" i="7"/>
  <c r="G201" i="7" s="1"/>
  <c r="E200" i="7"/>
  <c r="G200" i="7" s="1"/>
  <c r="E248" i="7" l="1"/>
  <c r="G248" i="7" s="1"/>
  <c r="E247" i="7"/>
  <c r="G247" i="7" s="1"/>
  <c r="C188" i="8"/>
  <c r="E64" i="8"/>
  <c r="G64" i="8" s="1"/>
  <c r="E134" i="8"/>
  <c r="G134" i="8" s="1"/>
  <c r="E133" i="8"/>
  <c r="G133" i="8" s="1"/>
  <c r="C108" i="8"/>
  <c r="C145" i="8"/>
  <c r="E202" i="7"/>
  <c r="G202" i="7" s="1"/>
  <c r="E165" i="7"/>
  <c r="G165" i="7" s="1"/>
  <c r="E164" i="7"/>
  <c r="G164" i="7" s="1"/>
  <c r="E249" i="7" l="1"/>
  <c r="G249" i="7" s="1"/>
  <c r="E179" i="8"/>
  <c r="G179" i="8" s="1"/>
  <c r="E178" i="8"/>
  <c r="G178" i="8" s="1"/>
  <c r="C189" i="8"/>
  <c r="E97" i="8"/>
  <c r="G97" i="8" s="1"/>
  <c r="E96" i="8"/>
  <c r="G96" i="8" s="1"/>
  <c r="C146" i="8"/>
  <c r="C109" i="8"/>
  <c r="E65" i="8"/>
  <c r="G65" i="8" s="1"/>
  <c r="E203" i="7"/>
  <c r="G203" i="7" s="1"/>
  <c r="E166" i="7"/>
  <c r="G166" i="7" s="1"/>
  <c r="C190" i="8" l="1"/>
  <c r="E180" i="8"/>
  <c r="G180" i="8" s="1"/>
  <c r="E67" i="8"/>
  <c r="G67" i="8" s="1"/>
  <c r="E136" i="8"/>
  <c r="G136" i="8" s="1"/>
  <c r="E66" i="8"/>
  <c r="G66" i="8" s="1"/>
  <c r="E135" i="8"/>
  <c r="G135" i="8" s="1"/>
  <c r="C147" i="8"/>
  <c r="E98" i="8"/>
  <c r="G98" i="8" s="1"/>
  <c r="E204" i="7"/>
  <c r="G204" i="7" s="1"/>
  <c r="E167" i="7"/>
  <c r="G167" i="7" s="1"/>
  <c r="E250" i="7" l="1"/>
  <c r="G250" i="7" s="1"/>
  <c r="E181" i="8"/>
  <c r="G181" i="8" s="1"/>
  <c r="C191" i="8"/>
  <c r="C148" i="8"/>
  <c r="E137" i="8"/>
  <c r="G137" i="8" s="1"/>
  <c r="E99" i="8"/>
  <c r="G99" i="8" s="1"/>
  <c r="E68" i="8"/>
  <c r="G68" i="8" s="1"/>
  <c r="E168" i="7"/>
  <c r="G168" i="7" s="1"/>
  <c r="E251" i="7" l="1"/>
  <c r="G251" i="7" s="1"/>
  <c r="C192" i="8"/>
  <c r="E182" i="8"/>
  <c r="G182" i="8" s="1"/>
  <c r="E69" i="8"/>
  <c r="G69" i="8" s="1"/>
  <c r="E100" i="8"/>
  <c r="G100" i="8" s="1"/>
  <c r="E138" i="8"/>
  <c r="G138" i="8" s="1"/>
  <c r="C149" i="8"/>
  <c r="E206" i="7"/>
  <c r="G206" i="7" s="1"/>
  <c r="E205" i="7"/>
  <c r="G205" i="7" s="1"/>
  <c r="E169" i="7"/>
  <c r="G169" i="7" s="1"/>
  <c r="E253" i="7" l="1"/>
  <c r="G253" i="7" s="1"/>
  <c r="E252" i="7"/>
  <c r="G252" i="7" s="1"/>
  <c r="E183" i="8"/>
  <c r="G183" i="8" s="1"/>
  <c r="C193" i="8"/>
  <c r="C150" i="8"/>
  <c r="E139" i="8"/>
  <c r="G139" i="8" s="1"/>
  <c r="E101" i="8"/>
  <c r="G101" i="8" s="1"/>
  <c r="E70" i="8"/>
  <c r="G70" i="8" s="1"/>
  <c r="E170" i="7"/>
  <c r="G170" i="7" s="1"/>
  <c r="E254" i="7" l="1"/>
  <c r="G254" i="7" s="1"/>
  <c r="C194" i="8"/>
  <c r="E184" i="8"/>
  <c r="G184" i="8" s="1"/>
  <c r="E71" i="8"/>
  <c r="G71" i="8" s="1"/>
  <c r="E102" i="8"/>
  <c r="G102" i="8" s="1"/>
  <c r="C151" i="8"/>
  <c r="E208" i="7"/>
  <c r="G208" i="7" s="1"/>
  <c r="E207" i="7"/>
  <c r="G207" i="7" s="1"/>
  <c r="E171" i="7"/>
  <c r="G171" i="7" s="1"/>
  <c r="E185" i="8" l="1"/>
  <c r="G185" i="8" s="1"/>
  <c r="C195" i="8"/>
  <c r="C152" i="8"/>
  <c r="E141" i="8"/>
  <c r="G141" i="8" s="1"/>
  <c r="E140" i="8"/>
  <c r="G140" i="8" s="1"/>
  <c r="E103" i="8"/>
  <c r="G103" i="8" s="1"/>
  <c r="E172" i="7"/>
  <c r="G172" i="7" s="1"/>
  <c r="E256" i="7" l="1"/>
  <c r="G256" i="7" s="1"/>
  <c r="E255" i="7"/>
  <c r="G255" i="7" s="1"/>
  <c r="C196" i="8"/>
  <c r="E186" i="8"/>
  <c r="G186" i="8" s="1"/>
  <c r="E73" i="8"/>
  <c r="G73" i="8" s="1"/>
  <c r="E104" i="8"/>
  <c r="G104" i="8" s="1"/>
  <c r="C153" i="8"/>
  <c r="E72" i="8"/>
  <c r="G72" i="8" s="1"/>
  <c r="E210" i="7"/>
  <c r="G210" i="7" s="1"/>
  <c r="E209" i="7"/>
  <c r="G209" i="7" s="1"/>
  <c r="E173" i="7"/>
  <c r="G173" i="7" s="1"/>
  <c r="E187" i="8" l="1"/>
  <c r="G187" i="8" s="1"/>
  <c r="C197" i="8"/>
  <c r="C198" i="8" s="1"/>
  <c r="E143" i="8"/>
  <c r="G143" i="8" s="1"/>
  <c r="E142" i="8"/>
  <c r="G142" i="8" s="1"/>
  <c r="E105" i="8"/>
  <c r="G105" i="8" s="1"/>
  <c r="C199" i="8" l="1"/>
  <c r="E199" i="8"/>
  <c r="G199" i="8" s="1"/>
  <c r="E188" i="8"/>
  <c r="G188" i="8" s="1"/>
  <c r="E144" i="8"/>
  <c r="G144" i="8" s="1"/>
  <c r="E212" i="7"/>
  <c r="G212" i="7" s="1"/>
  <c r="E211" i="7"/>
  <c r="G211" i="7" s="1"/>
  <c r="C200" i="8" l="1"/>
  <c r="E200" i="8"/>
  <c r="G200" i="8" s="1"/>
  <c r="E107" i="8"/>
  <c r="G107" i="8" s="1"/>
  <c r="E106" i="8"/>
  <c r="G106" i="8" s="1"/>
  <c r="E213" i="7"/>
  <c r="G213" i="7" s="1"/>
  <c r="C201" i="8" l="1"/>
  <c r="E201" i="8"/>
  <c r="G201" i="8" s="1"/>
  <c r="E189" i="8"/>
  <c r="G189" i="8" s="1"/>
  <c r="E146" i="8"/>
  <c r="G146" i="8" s="1"/>
  <c r="E145" i="8"/>
  <c r="G145" i="8" s="1"/>
  <c r="E108" i="8"/>
  <c r="G108" i="8" s="1"/>
  <c r="E214" i="7"/>
  <c r="G214" i="7" s="1"/>
  <c r="C202" i="8" l="1"/>
  <c r="E202" i="8"/>
  <c r="G202" i="8" s="1"/>
  <c r="E190" i="8"/>
  <c r="G190" i="8" s="1"/>
  <c r="E109" i="8"/>
  <c r="G109" i="8" s="1"/>
  <c r="E147" i="8"/>
  <c r="G147" i="8" s="1"/>
  <c r="E215" i="7"/>
  <c r="G215" i="7" s="1"/>
  <c r="C203" i="8" l="1"/>
  <c r="E203" i="8"/>
  <c r="G203" i="8" s="1"/>
  <c r="E191" i="8"/>
  <c r="G191" i="8" s="1"/>
  <c r="E148" i="8"/>
  <c r="G148" i="8" s="1"/>
  <c r="E110" i="8"/>
  <c r="G110" i="8" s="1"/>
  <c r="C204" i="8" l="1"/>
  <c r="E204" i="8"/>
  <c r="G204" i="8" s="1"/>
  <c r="E192" i="8"/>
  <c r="G192" i="8" s="1"/>
  <c r="C205" i="8" l="1"/>
  <c r="E205" i="8"/>
  <c r="G205" i="8" s="1"/>
  <c r="E193" i="8"/>
  <c r="G193" i="8" s="1"/>
  <c r="E150" i="8"/>
  <c r="G150" i="8" s="1"/>
  <c r="E149" i="8"/>
  <c r="G149" i="8" s="1"/>
  <c r="C206" i="8" l="1"/>
  <c r="E206" i="8"/>
  <c r="G206" i="8" s="1"/>
  <c r="E194" i="8"/>
  <c r="G194" i="8" s="1"/>
  <c r="E151" i="8"/>
  <c r="G151" i="8" s="1"/>
  <c r="C207" i="8" l="1"/>
  <c r="E207" i="8"/>
  <c r="G207" i="8" s="1"/>
  <c r="E195" i="8"/>
  <c r="G195" i="8" s="1"/>
  <c r="E152" i="8"/>
  <c r="G152" i="8" s="1"/>
  <c r="E208" i="8" l="1"/>
  <c r="G208" i="8" s="1"/>
  <c r="E196" i="8"/>
  <c r="G196" i="8" s="1"/>
  <c r="E198" i="8" l="1"/>
  <c r="G198" i="8" s="1"/>
  <c r="E197" i="8"/>
  <c r="G197" i="8" s="1"/>
  <c r="E154" i="8"/>
  <c r="G154" i="8" s="1"/>
  <c r="E153" i="8"/>
  <c r="G153" i="8" s="1"/>
</calcChain>
</file>

<file path=xl/sharedStrings.xml><?xml version="1.0" encoding="utf-8"?>
<sst xmlns="http://schemas.openxmlformats.org/spreadsheetml/2006/main" count="465" uniqueCount="465">
  <si>
    <t>Ticker</t>
  </si>
  <si>
    <t>Tipo</t>
  </si>
  <si>
    <t>Fecha Emision</t>
  </si>
  <si>
    <t>Fecha Vencimiento</t>
  </si>
  <si>
    <t>TEM (%)</t>
  </si>
  <si>
    <t>Meses (base 30/360)</t>
  </si>
  <si>
    <t>VPV (c/100 VN)</t>
  </si>
  <si>
    <t>S31G6</t>
  </si>
  <si>
    <t>LECAP</t>
  </si>
  <si>
    <t>S30S6</t>
  </si>
  <si>
    <t>Fecha</t>
  </si>
  <si>
    <t>Valor Residual</t>
  </si>
  <si>
    <t>Renta</t>
  </si>
  <si>
    <t>Amortización</t>
  </si>
  <si>
    <t>Cupón</t>
  </si>
  <si>
    <t>Total</t>
  </si>
  <si>
    <t>TO26</t>
  </si>
  <si>
    <t>TY30P</t>
  </si>
  <si>
    <t>Fecha Emisión</t>
  </si>
  <si>
    <t>Fecha Vencimineto</t>
  </si>
  <si>
    <t>CER aplicable</t>
  </si>
  <si>
    <t>Margen</t>
  </si>
  <si>
    <t>TZX26</t>
  </si>
  <si>
    <t>TZX27</t>
  </si>
  <si>
    <t>CER</t>
  </si>
  <si>
    <t>TMF27</t>
  </si>
  <si>
    <t>TMG27</t>
  </si>
  <si>
    <t>TAMAR</t>
  </si>
  <si>
    <t>TAMAR aplicable</t>
  </si>
  <si>
    <t>S29Y6</t>
  </si>
  <si>
    <t>S12J6</t>
  </si>
  <si>
    <t>T30J6</t>
  </si>
  <si>
    <t>S17L6</t>
  </si>
  <si>
    <t>S31L6</t>
  </si>
  <si>
    <t>S14G6</t>
  </si>
  <si>
    <t>S30O6</t>
  </si>
  <si>
    <t>S30N6</t>
  </si>
  <si>
    <t>T15E7</t>
  </si>
  <si>
    <t>T30A7</t>
  </si>
  <si>
    <t>T31Y7</t>
  </si>
  <si>
    <t>T30J7</t>
  </si>
  <si>
    <t>TZXO6</t>
  </si>
  <si>
    <t>TZXD6</t>
  </si>
  <si>
    <t>TZXM7</t>
  </si>
  <si>
    <t>TZXA7</t>
  </si>
  <si>
    <t>TZXS7</t>
  </si>
  <si>
    <t>TZXD7</t>
  </si>
  <si>
    <t>TZXM8</t>
  </si>
  <si>
    <t>TZX28</t>
  </si>
  <si>
    <t>TZXS8</t>
  </si>
  <si>
    <t>TZXM9</t>
  </si>
  <si>
    <t>M31G6</t>
  </si>
  <si>
    <t>TMF28</t>
  </si>
  <si>
    <t>TMG28</t>
  </si>
  <si>
    <t>USD aplicable</t>
  </si>
  <si>
    <t>TZV26</t>
  </si>
  <si>
    <t>Linked</t>
  </si>
  <si>
    <t>D30S6</t>
  </si>
  <si>
    <t>TZV27</t>
  </si>
  <si>
    <t>TZV28</t>
  </si>
  <si>
    <t>AO27</t>
  </si>
  <si>
    <t>AO28</t>
  </si>
  <si>
    <t>AL29</t>
  </si>
  <si>
    <t>AL30</t>
  </si>
  <si>
    <t>AL35</t>
  </si>
  <si>
    <t>AN29</t>
  </si>
  <si>
    <t>AL41</t>
  </si>
  <si>
    <t>AE38</t>
  </si>
  <si>
    <t>GD29</t>
  </si>
  <si>
    <t>GD30</t>
  </si>
  <si>
    <t>GD35</t>
  </si>
  <si>
    <t>GD38</t>
  </si>
  <si>
    <t>GD41</t>
  </si>
  <si>
    <t>GD46</t>
  </si>
  <si>
    <t>TXMJ9</t>
  </si>
  <si>
    <t>TXMJ8</t>
  </si>
  <si>
    <t>TTJ26</t>
  </si>
  <si>
    <t>TTS26</t>
  </si>
  <si>
    <t>BPC7D</t>
  </si>
  <si>
    <t>BPD7D</t>
  </si>
  <si>
    <t>BPA8D</t>
  </si>
  <si>
    <t>BPB8D</t>
  </si>
  <si>
    <t>S15S6</t>
  </si>
  <si>
    <t>D31L6</t>
  </si>
  <si>
    <t>D31M7</t>
  </si>
  <si>
    <t>NBS1D</t>
  </si>
  <si>
    <t>RUCED</t>
  </si>
  <si>
    <t>PQCSD</t>
  </si>
  <si>
    <t>TLCPD</t>
  </si>
  <si>
    <t>GN49D</t>
  </si>
  <si>
    <t>D31G6</t>
  </si>
  <si>
    <t>TZVD8</t>
  </si>
  <si>
    <t>TXMD8</t>
  </si>
  <si>
    <t>TXMD9</t>
  </si>
  <si>
    <t>TXMJ0</t>
  </si>
  <si>
    <t>S13N6</t>
  </si>
  <si>
    <t>TZXO7</t>
  </si>
  <si>
    <t>TZXD8</t>
  </si>
  <si>
    <t>TML27</t>
  </si>
  <si>
    <t>AO29</t>
  </si>
  <si>
    <t>D10Y7</t>
  </si>
  <si>
    <t>TZXY7</t>
  </si>
  <si>
    <t>X30N6</t>
  </si>
  <si>
    <t>X31L6</t>
  </si>
  <si>
    <t>X30S6</t>
  </si>
  <si>
    <t>BPA7D</t>
  </si>
  <si>
    <t>BPB7D</t>
  </si>
  <si>
    <t>Ticker</t>
  </si>
  <si>
    <t>Nombre</t>
  </si>
  <si>
    <t>Fecha Vencimiento</t>
  </si>
  <si>
    <t>BA37D</t>
  </si>
  <si>
    <t>Buenos Aires 2037A</t>
  </si>
  <si>
    <t>BB37D</t>
  </si>
  <si>
    <t>Buenos Aires 2037B</t>
  </si>
  <si>
    <t>BC37D</t>
  </si>
  <si>
    <t>Buenos Aires 2037C</t>
  </si>
  <si>
    <t>BDC36</t>
  </si>
  <si>
    <t>CABA 2036</t>
  </si>
  <si>
    <t>PUA36</t>
  </si>
  <si>
    <t>Chubut 2036</t>
  </si>
  <si>
    <t>CO32</t>
  </si>
  <si>
    <t>Cordoba 2032</t>
  </si>
  <si>
    <t>CO35</t>
  </si>
  <si>
    <t>Cordoba 2035</t>
  </si>
  <si>
    <t>ERF25</t>
  </si>
  <si>
    <t>Entre Rios 2028</t>
  </si>
  <si>
    <t>ERM33</t>
  </si>
  <si>
    <t>Entre Rios 2033</t>
  </si>
  <si>
    <t>PMM29</t>
  </si>
  <si>
    <t>Mendoza 2029</t>
  </si>
  <si>
    <t>NDT25</t>
  </si>
  <si>
    <t>Neuquen 04-2030</t>
  </si>
  <si>
    <t>SA24D</t>
  </si>
  <si>
    <t>Salta 2027</t>
  </si>
  <si>
    <t>CO26</t>
  </si>
  <si>
    <t>Cordoba 2026</t>
  </si>
  <si>
    <t>JUS22</t>
  </si>
  <si>
    <t>Jujuy 2027</t>
  </si>
  <si>
    <t>Bueair27</t>
  </si>
  <si>
    <t>CABA 2027</t>
  </si>
  <si>
    <t>CO24</t>
  </si>
  <si>
    <t>Cordoba 2027</t>
  </si>
  <si>
    <t>Muni27</t>
  </si>
  <si>
    <t>Muni Cordoba 2027</t>
  </si>
  <si>
    <t>SF27D</t>
  </si>
  <si>
    <t>Santa Fe 2027</t>
  </si>
  <si>
    <t>CH24D</t>
  </si>
  <si>
    <t>Chaco 2028</t>
  </si>
  <si>
    <t>RIF25</t>
  </si>
  <si>
    <t>La Rioja 2028</t>
  </si>
  <si>
    <t>RND25</t>
  </si>
  <si>
    <t>Rio Negro 2028</t>
  </si>
  <si>
    <t>CO27</t>
  </si>
  <si>
    <t>Cordoba 2029</t>
  </si>
  <si>
    <t>PUL26</t>
  </si>
  <si>
    <t>Chubut 2029</t>
  </si>
  <si>
    <t>TFU27</t>
  </si>
  <si>
    <t>Tierra del Fuego 2030</t>
  </si>
  <si>
    <t>Neuquen 2030 (NDT25)</t>
  </si>
  <si>
    <t>NDT11</t>
  </si>
  <si>
    <t>Neuquen 2030 (NDT11)</t>
  </si>
  <si>
    <t>Entre Ríos 2033</t>
  </si>
  <si>
    <t>BDC33</t>
  </si>
  <si>
    <t>CABA 2033</t>
  </si>
  <si>
    <t>SFD34</t>
  </si>
  <si>
    <t>Santa Fe 2034</t>
  </si>
  <si>
    <t>Buenos Aires 2037 (BA37D)</t>
  </si>
  <si>
    <t>Buenos Aires 2037 (BB37D)</t>
  </si>
  <si>
    <t>Buenos Aires 2037 (BC37D)</t>
  </si>
  <si>
    <t>Ticker</t>
  </si>
  <si>
    <t>Nombre</t>
  </si>
  <si>
    <t>Fecha Vencimiento</t>
  </si>
  <si>
    <t>Ley</t>
  </si>
  <si>
    <t>Divisa</t>
  </si>
  <si>
    <t>BYCHD</t>
  </si>
  <si>
    <t>Banco Galicia 2028</t>
  </si>
  <si>
    <t>ny</t>
  </si>
  <si>
    <t>USD</t>
  </si>
  <si>
    <t>BACHD</t>
  </si>
  <si>
    <t>Banco Macro 2031</t>
  </si>
  <si>
    <t>CP38D</t>
  </si>
  <si>
    <t>CGC 2030</t>
  </si>
  <si>
    <t>DNC7D</t>
  </si>
  <si>
    <t>Edenor 2030</t>
  </si>
  <si>
    <t>DNCAD</t>
  </si>
  <si>
    <t>Edenor 2033</t>
  </si>
  <si>
    <t>MR46D</t>
  </si>
  <si>
    <t>GEMSA - CTR 2034</t>
  </si>
  <si>
    <t>GN49D</t>
  </si>
  <si>
    <t>GENNEIA 2033</t>
  </si>
  <si>
    <t>IRCFD</t>
  </si>
  <si>
    <t>IRSA 2028</t>
  </si>
  <si>
    <t>IRCPD</t>
  </si>
  <si>
    <t>IRSA 2035</t>
  </si>
  <si>
    <t>RUCDD</t>
  </si>
  <si>
    <t>MSU Energy 2030</t>
  </si>
  <si>
    <t>EAC4D</t>
  </si>
  <si>
    <t>MSU Green Energy 2036</t>
  </si>
  <si>
    <t>MGCMD</t>
  </si>
  <si>
    <t>Pampa Energía 2031</t>
  </si>
  <si>
    <t>MGCOD</t>
  </si>
  <si>
    <t>Pampa Energía 2034</t>
  </si>
  <si>
    <t>MGCRD</t>
  </si>
  <si>
    <t>Pampa Energía 2037</t>
  </si>
  <si>
    <t>PN43D</t>
  </si>
  <si>
    <t>PAE 2037</t>
  </si>
  <si>
    <t>PLC5D</t>
  </si>
  <si>
    <t>Pluspetrol 2031</t>
  </si>
  <si>
    <t>PLC4D</t>
  </si>
  <si>
    <t>Pluspetrol 2032</t>
  </si>
  <si>
    <t>PLC7D</t>
  </si>
  <si>
    <t>Pluspetrol 2037</t>
  </si>
  <si>
    <t>TTCDD</t>
  </si>
  <si>
    <t>Tecpetrol 2030</t>
  </si>
  <si>
    <t>TLCMD</t>
  </si>
  <si>
    <t>Telecom 2031</t>
  </si>
  <si>
    <t>TLCPD</t>
  </si>
  <si>
    <t>Telecom 2033</t>
  </si>
  <si>
    <t>TLCTD</t>
  </si>
  <si>
    <t>Telecom 2036</t>
  </si>
  <si>
    <t>TSC3D</t>
  </si>
  <si>
    <t>TGS 2031</t>
  </si>
  <si>
    <t>TSC4D</t>
  </si>
  <si>
    <t>TGS 2035</t>
  </si>
  <si>
    <t>VSCVD</t>
  </si>
  <si>
    <t>Vista Energy 2033</t>
  </si>
  <si>
    <t>VSCTD</t>
  </si>
  <si>
    <t>Vista Energy 2035</t>
  </si>
  <si>
    <t>VSCXD</t>
  </si>
  <si>
    <t>Vista Energy 2038</t>
  </si>
  <si>
    <t>YMCID</t>
  </si>
  <si>
    <t>YPF 2029</t>
  </si>
  <si>
    <t>YMCXD</t>
  </si>
  <si>
    <t>YPF 2031</t>
  </si>
  <si>
    <t>YMCJD</t>
  </si>
  <si>
    <t>YPF 2033</t>
  </si>
  <si>
    <t>YM34D</t>
  </si>
  <si>
    <t>YPF 2034</t>
  </si>
  <si>
    <t>YFCJD</t>
  </si>
  <si>
    <t>YPF Luz 2032</t>
  </si>
  <si>
    <t>OLC5D</t>
  </si>
  <si>
    <t>Oldelval 2028</t>
  </si>
  <si>
    <t>local</t>
  </si>
  <si>
    <t>OLC6D</t>
  </si>
  <si>
    <t>Oldelval 2029</t>
  </si>
  <si>
    <t>OLC7D</t>
  </si>
  <si>
    <t>Oldelval 2030</t>
  </si>
  <si>
    <t>PN38D</t>
  </si>
  <si>
    <t>PAE 2027</t>
  </si>
  <si>
    <t>PN41D</t>
  </si>
  <si>
    <t>PAE Ago-2029</t>
  </si>
  <si>
    <t>PN35D</t>
  </si>
  <si>
    <t>PAE Sep-2029</t>
  </si>
  <si>
    <t>PN36D</t>
  </si>
  <si>
    <t>PAE 2031</t>
  </si>
  <si>
    <t>MGCQD</t>
  </si>
  <si>
    <t>Pampa Energía 2028</t>
  </si>
  <si>
    <t>MGCTD</t>
  </si>
  <si>
    <t>Pampa Energía 2029</t>
  </si>
  <si>
    <t>MCC1D</t>
  </si>
  <si>
    <t>PECOM Servicios 2029</t>
  </si>
  <si>
    <t>MCC3D</t>
  </si>
  <si>
    <t>PECOM Servicios 2030</t>
  </si>
  <si>
    <t>PLC6D</t>
  </si>
  <si>
    <t>Pluspetrol 2029</t>
  </si>
  <si>
    <t>PLC2D</t>
  </si>
  <si>
    <t>Pluspetrol 2030</t>
  </si>
  <si>
    <t>VSCRD</t>
  </si>
  <si>
    <t>Vista 2031</t>
  </si>
  <si>
    <t>YM37D</t>
  </si>
  <si>
    <t>YPF May-2027</t>
  </si>
  <si>
    <t>YM38D</t>
  </si>
  <si>
    <t>YPF Jul-2027</t>
  </si>
  <si>
    <t>YMCYD</t>
  </si>
  <si>
    <t>YPF 2028</t>
  </si>
  <si>
    <t>YM42D</t>
  </si>
  <si>
    <t>YM43D</t>
  </si>
  <si>
    <t>YPF Abr-2030</t>
  </si>
  <si>
    <t>YM39D</t>
  </si>
  <si>
    <t>YPF Jul-2030</t>
  </si>
  <si>
    <t>BYCVD</t>
  </si>
  <si>
    <t>Banco Galicia 2026</t>
  </si>
  <si>
    <t>BF37D</t>
  </si>
  <si>
    <t>BBVA 2026</t>
  </si>
  <si>
    <t>CICAD</t>
  </si>
  <si>
    <t>CNH Industrial 2028</t>
  </si>
  <si>
    <t>HJCID</t>
  </si>
  <si>
    <t>John Deere 2027</t>
  </si>
  <si>
    <t>HJCLD</t>
  </si>
  <si>
    <t>John Deere 2028</t>
  </si>
  <si>
    <t>T662D</t>
  </si>
  <si>
    <t>Tarjeta Naranja 2026</t>
  </si>
  <si>
    <t>LOC5D</t>
  </si>
  <si>
    <t>Loma Negra 2027</t>
  </si>
  <si>
    <t>MIC6D</t>
  </si>
  <si>
    <t>Mirgor 2028</t>
  </si>
  <si>
    <t>PQCSD</t>
  </si>
  <si>
    <t>PCR 2031</t>
  </si>
  <si>
    <t>PFC2D</t>
  </si>
  <si>
    <t>Profertil 2027</t>
  </si>
  <si>
    <t>CACDD</t>
  </si>
  <si>
    <t>Capex 2029</t>
  </si>
  <si>
    <t>NPCCD</t>
  </si>
  <si>
    <t>Central Puerto 2029</t>
  </si>
  <si>
    <t>NPCDD</t>
  </si>
  <si>
    <t>Central Puerto 2030</t>
  </si>
  <si>
    <t>OZC3D</t>
  </si>
  <si>
    <t>EDEMSA 2027</t>
  </si>
  <si>
    <t>DNC3D</t>
  </si>
  <si>
    <t>EDENOR 2026</t>
  </si>
  <si>
    <t>DNC5D</t>
  </si>
  <si>
    <t>EDENOR 2028</t>
  </si>
  <si>
    <t>DNCBD</t>
  </si>
  <si>
    <t>EDENOR 2029</t>
  </si>
  <si>
    <t>RUCED</t>
  </si>
  <si>
    <t>MSU 2027</t>
  </si>
  <si>
    <t>TLCUD</t>
  </si>
  <si>
    <t>Telecom 2029</t>
  </si>
  <si>
    <t>TLCWD</t>
  </si>
  <si>
    <t>Telecom 2030</t>
  </si>
  <si>
    <t>CS52D</t>
  </si>
  <si>
    <t>Cresud Abr-2028</t>
  </si>
  <si>
    <t>CS48D</t>
  </si>
  <si>
    <t>Cresud Jul-2028</t>
  </si>
  <si>
    <t>CS47D</t>
  </si>
  <si>
    <t>Cresud Nov-2028</t>
  </si>
  <si>
    <t>Ticker</t>
  </si>
  <si>
    <t>Fecha</t>
  </si>
  <si>
    <t>Valor Residual</t>
  </si>
  <si>
    <t>Renta</t>
  </si>
  <si>
    <t>Amortización</t>
  </si>
  <si>
    <t>Total</t>
  </si>
  <si>
    <t>BYCHD</t>
  </si>
  <si>
    <t>BACHD</t>
  </si>
  <si>
    <t>CP38D</t>
  </si>
  <si>
    <t>DNC7D</t>
  </si>
  <si>
    <t>DNCAD</t>
  </si>
  <si>
    <t>MR46D</t>
  </si>
  <si>
    <t>IRCFD</t>
  </si>
  <si>
    <t>IRCPD</t>
  </si>
  <si>
    <t>RUCDD</t>
  </si>
  <si>
    <t>EAC4D</t>
  </si>
  <si>
    <t>MGCMD</t>
  </si>
  <si>
    <t>MGCOD</t>
  </si>
  <si>
    <t>MGCRD</t>
  </si>
  <si>
    <t>PN43D</t>
  </si>
  <si>
    <t>PLC5D</t>
  </si>
  <si>
    <t>PLC4D</t>
  </si>
  <si>
    <t>PLC7D</t>
  </si>
  <si>
    <t>TTCDD</t>
  </si>
  <si>
    <t>TLCMD</t>
  </si>
  <si>
    <t>TLCTD</t>
  </si>
  <si>
    <t>TSC3D</t>
  </si>
  <si>
    <t>TSC4D</t>
  </si>
  <si>
    <t>VSCVD</t>
  </si>
  <si>
    <t>VSCTD</t>
  </si>
  <si>
    <t>VSCXD</t>
  </si>
  <si>
    <t>YMCID</t>
  </si>
  <si>
    <t>YMCXD</t>
  </si>
  <si>
    <t>YMCJD</t>
  </si>
  <si>
    <t>YM34D</t>
  </si>
  <si>
    <t>YFCJD</t>
  </si>
  <si>
    <t>OLC5D</t>
  </si>
  <si>
    <t>OLC6D</t>
  </si>
  <si>
    <t>OLC7D</t>
  </si>
  <si>
    <t>PN38D</t>
  </si>
  <si>
    <t>PN41D</t>
  </si>
  <si>
    <t>PN35D</t>
  </si>
  <si>
    <t>PN36D</t>
  </si>
  <si>
    <t>MGCQD</t>
  </si>
  <si>
    <t>MGCTD</t>
  </si>
  <si>
    <t>MCC1D</t>
  </si>
  <si>
    <t>MCC3D</t>
  </si>
  <si>
    <t>PLC6D</t>
  </si>
  <si>
    <t>PLC2D</t>
  </si>
  <si>
    <t>VSCRD</t>
  </si>
  <si>
    <t>YM37D</t>
  </si>
  <si>
    <t>YM38D</t>
  </si>
  <si>
    <t>YMCYD</t>
  </si>
  <si>
    <t>YM42D</t>
  </si>
  <si>
    <t>YM43D</t>
  </si>
  <si>
    <t>YM39D</t>
  </si>
  <si>
    <t>BYCVD</t>
  </si>
  <si>
    <t>BF37D</t>
  </si>
  <si>
    <t>CICAD</t>
  </si>
  <si>
    <t>HJCID</t>
  </si>
  <si>
    <t>HJCLD</t>
  </si>
  <si>
    <t>T662D</t>
  </si>
  <si>
    <t>LOC5D</t>
  </si>
  <si>
    <t>MIC6D</t>
  </si>
  <si>
    <t>PFC2D</t>
  </si>
  <si>
    <t>CACDD</t>
  </si>
  <si>
    <t>NPCCD</t>
  </si>
  <si>
    <t>NPCDD</t>
  </si>
  <si>
    <t>OZC3D</t>
  </si>
  <si>
    <t>DNC3D</t>
  </si>
  <si>
    <t>DNC5D</t>
  </si>
  <si>
    <t>DNCBD</t>
  </si>
  <si>
    <t>TLCUD</t>
  </si>
  <si>
    <t>TLCWD</t>
  </si>
  <si>
    <t>CS52D</t>
  </si>
  <si>
    <t>CS48D</t>
  </si>
  <si>
    <t>CS47D</t>
  </si>
  <si>
    <t>Bueair27</t>
  </si>
  <si>
    <t>CO24</t>
  </si>
  <si>
    <t>Muni27</t>
  </si>
  <si>
    <t>SF27D</t>
  </si>
  <si>
    <t>SA24D</t>
  </si>
  <si>
    <t>CH24D</t>
  </si>
  <si>
    <t>RIF25</t>
  </si>
  <si>
    <t>RND25</t>
  </si>
  <si>
    <t>ERF25</t>
  </si>
  <si>
    <t>CO27</t>
  </si>
  <si>
    <t>PMM29</t>
  </si>
  <si>
    <t>PUL26</t>
  </si>
  <si>
    <t>TFU27</t>
  </si>
  <si>
    <t>NDT25</t>
  </si>
  <si>
    <t>NDT11</t>
  </si>
  <si>
    <t>CO32</t>
  </si>
  <si>
    <t>ERM33</t>
  </si>
  <si>
    <t>BDC33</t>
  </si>
  <si>
    <t>SFD34</t>
  </si>
  <si>
    <t>CO35</t>
  </si>
  <si>
    <t>PUA36</t>
  </si>
  <si>
    <t>BDC36</t>
  </si>
  <si>
    <t>BA37D</t>
  </si>
  <si>
    <t>BB37D</t>
  </si>
  <si>
    <t>BC37D</t>
  </si>
  <si>
    <t>JUS22</t>
  </si>
  <si>
    <t>RUCED</t>
  </si>
  <si>
    <t>PQCSD</t>
  </si>
  <si>
    <t>TLCPD</t>
  </si>
  <si>
    <t>GN49D</t>
  </si>
  <si>
    <t>PFC3D</t>
  </si>
  <si>
    <t>Profertil 2029</t>
  </si>
  <si>
    <t>RC2CD</t>
  </si>
  <si>
    <t>Arcor 2026</t>
  </si>
  <si>
    <t>YM35D</t>
  </si>
  <si>
    <t>YPF Feb-2027</t>
  </si>
  <si>
    <t>YFCMD</t>
  </si>
  <si>
    <t>YPF Luz 2027</t>
  </si>
  <si>
    <t>LUC5D</t>
  </si>
  <si>
    <t>Luz de Tres Picos 2029</t>
  </si>
  <si>
    <t>STCFD</t>
  </si>
  <si>
    <t>Grupo ST 2027</t>
  </si>
  <si>
    <t>WBS3D</t>
  </si>
  <si>
    <t>B. Mariva 2027</t>
  </si>
  <si>
    <t>CCL</t>
  </si>
  <si>
    <t>MEP</t>
  </si>
  <si>
    <t>VSCZD</t>
  </si>
  <si>
    <t>Vista Energy Jul-2029</t>
  </si>
  <si>
    <t>LQC1D</t>
  </si>
  <si>
    <t>PCR - Luz de Tres Picos 2034</t>
  </si>
  <si>
    <t>MR44D</t>
  </si>
  <si>
    <t>GEMSA - CTR 2036</t>
  </si>
  <si>
    <t>ICC6D</t>
  </si>
  <si>
    <t>B. ICBC 2027</t>
  </si>
  <si>
    <t>NPCED</t>
  </si>
  <si>
    <t>Central Puerto Jul-2029</t>
  </si>
  <si>
    <t>OZC8D</t>
  </si>
  <si>
    <t>EDEMSA 2033</t>
  </si>
  <si>
    <t>NDG34</t>
  </si>
  <si>
    <t>Neuquen 2034</t>
  </si>
  <si>
    <t>AEC3D</t>
  </si>
  <si>
    <t>AES Argentina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</si>
</sst>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961C-260F-4481-8170-F6D7AAFF346E}">
  <dimension ref="A1:G16"/>
  <sheetViews>
    <sheetView workbookViewId="0">
      <selection activeCell="H10" sqref="H10"/>
    </sheetView>
  </sheetViews>
  <sheetFormatPr baseColWidth="10" defaultRowHeight="15" x14ac:dyDescent="0.2"/>
  <cols>
    <col min="1" max="7" width="19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5" spans="1:7" x14ac:dyDescent="0.2">
      <c r="A5" s="1" t="s">
        <v>9</v>
      </c>
      <c r="B5" s="1" t="s">
        <v>8</v>
      </c>
      <c r="C5" s="3">
        <v>46097</v>
      </c>
      <c r="D5" s="3">
        <v>46295</v>
      </c>
      <c r="E5" s="1">
        <v>2.5299999999999998</v>
      </c>
      <c r="F5" s="7">
        <f t="shared" si="1"/>
        <v>6.4666666666666668</v>
      </c>
      <c r="G5" s="1">
        <f>100*(1+E9/100)^F9</f>
        <v>117.53562589582242</v>
      </c>
    </row>
    <row r="6" spans="1:7" x14ac:dyDescent="0.2">
      <c r="A6" s="1" t="s">
        <v>35</v>
      </c>
      <c r="B6" s="1" t="s">
        <v>8</v>
      </c>
      <c r="C6" s="3">
        <v>45961</v>
      </c>
      <c r="D6" s="3">
        <v>46325</v>
      </c>
      <c r="E6" s="1">
        <v>2.5499999999999998</v>
      </c>
      <c r="F6" s="7">
        <f t="shared" si="1"/>
        <v>12</v>
      </c>
      <c r="G6" s="1">
        <f t="shared" ref="G10:G17" si="2">100*(1+E10/100)^F10</f>
        <v>135.27824999695426</v>
      </c>
    </row>
    <row r="7" spans="1:7" x14ac:dyDescent="0.2">
      <c r="A7" s="1" t="s">
        <v>36</v>
      </c>
      <c r="B7" s="1" t="s">
        <v>8</v>
      </c>
      <c r="C7" s="3">
        <v>46006</v>
      </c>
      <c r="D7" s="3">
        <v>46356</v>
      </c>
      <c r="E7" s="1">
        <v>2.2999999999999998</v>
      </c>
      <c r="F7" s="7">
        <f t="shared" si="1"/>
        <v>11.5</v>
      </c>
      <c r="G7" s="1">
        <f t="shared" si="2"/>
        <v>129.88822671719913</v>
      </c>
    </row>
    <row r="8" spans="1:7" x14ac:dyDescent="0.2">
      <c r="A8" s="1" t="s">
        <v>37</v>
      </c>
      <c r="B8" s="1" t="s">
        <v>8</v>
      </c>
      <c r="C8" s="3">
        <v>45688</v>
      </c>
      <c r="D8" s="3">
        <v>46402</v>
      </c>
      <c r="E8" s="1">
        <v>2.0499999999999998</v>
      </c>
      <c r="F8" s="7">
        <f t="shared" si="1"/>
        <v>23.5</v>
      </c>
      <c r="G8" s="1">
        <f t="shared" si="2"/>
        <v>161.10377342466148</v>
      </c>
    </row>
    <row r="9" spans="1:7" x14ac:dyDescent="0.2">
      <c r="A9" s="1" t="s">
        <v>38</v>
      </c>
      <c r="B9" s="1" t="s">
        <v>8</v>
      </c>
      <c r="C9" s="3">
        <v>45961</v>
      </c>
      <c r="D9" s="3">
        <v>46507</v>
      </c>
      <c r="E9" s="1">
        <v>2.5499999999999998</v>
      </c>
      <c r="F9" s="7">
        <f t="shared" si="1"/>
        <v>18</v>
      </c>
      <c r="G9" s="1">
        <f t="shared" si="2"/>
        <v>157.34102123941065</v>
      </c>
    </row>
    <row r="10" spans="1:7" x14ac:dyDescent="0.2">
      <c r="A10" s="1" t="s">
        <v>39</v>
      </c>
      <c r="B10" s="1" t="s">
        <v>8</v>
      </c>
      <c r="C10" s="3">
        <v>46006</v>
      </c>
      <c r="D10" s="3">
        <v>46538</v>
      </c>
      <c r="E10" s="1">
        <v>2.4</v>
      </c>
      <c r="F10" s="7">
        <f t="shared" si="1"/>
        <v>17.533333333333335</v>
      </c>
      <c r="G10" s="1">
        <f t="shared" si="2"/>
        <v>151.56278365654157</v>
      </c>
    </row>
    <row r="11" spans="1:7" x14ac:dyDescent="0.2">
      <c r="A11" s="1" t="s">
        <v>40</v>
      </c>
      <c r="B11" s="1" t="s">
        <v>8</v>
      </c>
      <c r="C11" s="3">
        <v>46038</v>
      </c>
      <c r="D11" s="3">
        <v>46568</v>
      </c>
      <c r="E11" s="1">
        <v>2.58</v>
      </c>
      <c r="F11" s="7">
        <f t="shared" si="1"/>
        <v>17.466666666666665</v>
      </c>
      <c r="G11" s="1">
        <f t="shared" si="2"/>
        <v>156.03729080688436</v>
      </c>
    </row>
    <row r="12" spans="1:7" x14ac:dyDescent="0.2">
      <c r="A12" s="1" t="s">
        <v>82</v>
      </c>
      <c r="B12" s="1" t="s">
        <v>8</v>
      </c>
      <c r="C12" s="3">
        <v>46171</v>
      </c>
      <c r="D12" s="3">
        <v>46280</v>
      </c>
      <c r="E12" s="1">
        <v>1.99</v>
      </c>
      <c r="F12" s="7">
        <f t="shared" si="1"/>
        <v>3.5333333333333332</v>
      </c>
      <c r="G12" s="1">
        <f t="shared" si="2"/>
        <v>107.21037727507621</v>
      </c>
    </row>
    <row r="13" spans="1:7" x14ac:dyDescent="0.2">
      <c r="A13" s="1" t="s">
        <v>95</v>
      </c>
      <c r="B13" s="1" t="s">
        <v>8</v>
      </c>
      <c r="C13" s="3">
        <v>46203</v>
      </c>
      <c r="D13" s="3">
        <v>46339</v>
      </c>
      <c r="E13" s="1">
        <v>2.1</v>
      </c>
      <c r="F13" s="7">
        <f t="shared" si="1"/>
        <v>4.4333333333333336</v>
      </c>
      <c r="G13" s="1">
        <f t="shared" si="2"/>
        <v>109.65138541823494</v>
      </c>
    </row>
    <row r="14" spans="1:7" x14ac:dyDescent="0.2">
      <c r="A14" s="1" t="inlineStr">
        <is>
          <t>S16O6</t>
        </is>
      </c>
      <c r="B14" s="1" t="inlineStr">
        <is>
          <t>LECAP</t>
        </is>
      </c>
      <c r="C14" s="3">
        <v>46234</v>
      </c>
      <c r="D14" s="3">
        <v>46311</v>
      </c>
      <c r="E14" s="1">
        <v>2.05</v>
      </c>
      <c r="F14" s="7">
        <f>DAYS360(C18,D18)/30</f>
        <v>2.533333333333333</v>
      </c>
      <c r="G14" s="1">
        <f>100*(1+E18/100)^F18</f>
        <v>105.2752519814636</v>
      </c>
    </row>
    <row r="15" spans="1:7" x14ac:dyDescent="0.2">
      <c r="A15" s="1" t="inlineStr">
        <is>
          <t>S29E7</t>
        </is>
      </c>
      <c r="B15" s="1" t="inlineStr">
        <is>
          <t>LECAP</t>
        </is>
      </c>
      <c r="C15" s="3">
        <v>46265</v>
      </c>
      <c r="D15" s="3">
        <v>46416</v>
      </c>
      <c r="E15" s="1">
        <v>2.25</v>
      </c>
      <c r="F15" s="7">
        <v>4.966666666666667</v>
      </c>
      <c r="G15" s="1">
        <v>111.68490338270816</v>
      </c>
    </row>
    <row r="16" spans="1:7" x14ac:dyDescent="0.2">
      <c r="A16" s="1"/>
      <c r="B16" s="1"/>
      <c r="C16" s="3"/>
      <c r="D16" s="3"/>
      <c r="E16" s="1"/>
      <c r="F16" s="1"/>
      <c r="G1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D63A-F997-4A86-BBCE-0112B3AF8896}">
  <dimension ref="A1:G35"/>
  <sheetViews>
    <sheetView workbookViewId="0">
      <selection activeCell="C22" sqref="C22"/>
    </sheetView>
  </sheetViews>
  <sheetFormatPr baseColWidth="10" defaultRowHeight="15" x14ac:dyDescent="0.2"/>
  <cols>
    <col min="1" max="7" width="13.6640625" customWidth="1"/>
  </cols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16</v>
      </c>
      <c r="B2" s="3">
        <v>42660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16</v>
      </c>
      <c r="B3" s="3">
        <v>42842</v>
      </c>
      <c r="C3" s="1">
        <v>100</v>
      </c>
      <c r="D3" s="4">
        <v>0.155</v>
      </c>
      <c r="E3" s="5">
        <f>((D3*C2)/360)*DAYS360(B2,B3)</f>
        <v>7.75</v>
      </c>
      <c r="F3" s="1">
        <v>0</v>
      </c>
      <c r="G3" s="1">
        <f>F3+E3</f>
        <v>7.75</v>
      </c>
    </row>
    <row r="4" spans="1:7" x14ac:dyDescent="0.2">
      <c r="A4" s="1" t="s">
        <v>16</v>
      </c>
      <c r="B4" s="3">
        <v>43025</v>
      </c>
      <c r="C4" s="1">
        <v>100</v>
      </c>
      <c r="D4" s="4">
        <v>0.155</v>
      </c>
      <c r="E4" s="5">
        <f t="shared" ref="E4:E22" si="0">((D4*C3)/360)*DAYS360(B3,B4)</f>
        <v>7.75</v>
      </c>
      <c r="F4" s="1">
        <v>0</v>
      </c>
      <c r="G4" s="1">
        <f t="shared" ref="G4:G22" si="1">F4+E4</f>
        <v>7.75</v>
      </c>
    </row>
    <row r="5" spans="1:7" x14ac:dyDescent="0.2">
      <c r="A5" s="1" t="s">
        <v>16</v>
      </c>
      <c r="B5" s="3">
        <v>43207</v>
      </c>
      <c r="C5" s="1">
        <v>100</v>
      </c>
      <c r="D5" s="4">
        <v>0.155</v>
      </c>
      <c r="E5" s="5">
        <f t="shared" si="0"/>
        <v>7.75</v>
      </c>
      <c r="F5" s="1">
        <v>0</v>
      </c>
      <c r="G5" s="1">
        <f t="shared" si="1"/>
        <v>7.75</v>
      </c>
    </row>
    <row r="6" spans="1:7" x14ac:dyDescent="0.2">
      <c r="A6" s="1" t="s">
        <v>16</v>
      </c>
      <c r="B6" s="3">
        <v>43390</v>
      </c>
      <c r="C6" s="1">
        <v>100</v>
      </c>
      <c r="D6" s="4">
        <v>0.155</v>
      </c>
      <c r="E6" s="5">
        <f t="shared" si="0"/>
        <v>7.75</v>
      </c>
      <c r="F6" s="1">
        <v>0</v>
      </c>
      <c r="G6" s="1">
        <f t="shared" si="1"/>
        <v>7.75</v>
      </c>
    </row>
    <row r="7" spans="1:7" x14ac:dyDescent="0.2">
      <c r="A7" s="1" t="s">
        <v>16</v>
      </c>
      <c r="B7" s="3">
        <v>43572</v>
      </c>
      <c r="C7" s="1">
        <v>100</v>
      </c>
      <c r="D7" s="4">
        <v>0.155</v>
      </c>
      <c r="E7" s="5">
        <f t="shared" si="0"/>
        <v>7.75</v>
      </c>
      <c r="F7" s="1">
        <v>0</v>
      </c>
      <c r="G7" s="1">
        <f t="shared" si="1"/>
        <v>7.75</v>
      </c>
    </row>
    <row r="8" spans="1:7" x14ac:dyDescent="0.2">
      <c r="A8" s="1" t="s">
        <v>16</v>
      </c>
      <c r="B8" s="3">
        <v>43755</v>
      </c>
      <c r="C8" s="1">
        <v>100</v>
      </c>
      <c r="D8" s="4">
        <v>0.155</v>
      </c>
      <c r="E8" s="5">
        <f t="shared" si="0"/>
        <v>7.75</v>
      </c>
      <c r="F8" s="1">
        <v>0</v>
      </c>
      <c r="G8" s="1">
        <f t="shared" si="1"/>
        <v>7.75</v>
      </c>
    </row>
    <row r="9" spans="1:7" x14ac:dyDescent="0.2">
      <c r="A9" s="1" t="s">
        <v>16</v>
      </c>
      <c r="B9" s="3">
        <v>43938</v>
      </c>
      <c r="C9" s="1">
        <v>100</v>
      </c>
      <c r="D9" s="4">
        <v>0.155</v>
      </c>
      <c r="E9" s="5">
        <f t="shared" si="0"/>
        <v>7.75</v>
      </c>
      <c r="F9" s="1">
        <v>0</v>
      </c>
      <c r="G9" s="1">
        <f t="shared" si="1"/>
        <v>7.75</v>
      </c>
    </row>
    <row r="10" spans="1:7" x14ac:dyDescent="0.2">
      <c r="A10" s="1" t="s">
        <v>16</v>
      </c>
      <c r="B10" s="3">
        <v>44121</v>
      </c>
      <c r="C10" s="1">
        <v>100</v>
      </c>
      <c r="D10" s="4">
        <v>0.155</v>
      </c>
      <c r="E10" s="5">
        <f t="shared" si="0"/>
        <v>7.75</v>
      </c>
      <c r="F10" s="1">
        <v>0</v>
      </c>
      <c r="G10" s="1">
        <f t="shared" si="1"/>
        <v>7.75</v>
      </c>
    </row>
    <row r="11" spans="1:7" x14ac:dyDescent="0.2">
      <c r="A11" s="1" t="s">
        <v>16</v>
      </c>
      <c r="B11" s="3">
        <v>44303</v>
      </c>
      <c r="C11" s="1">
        <v>100</v>
      </c>
      <c r="D11" s="4">
        <v>0.155</v>
      </c>
      <c r="E11" s="5">
        <f t="shared" si="0"/>
        <v>7.75</v>
      </c>
      <c r="F11" s="1">
        <v>0</v>
      </c>
      <c r="G11" s="1">
        <f t="shared" si="1"/>
        <v>7.75</v>
      </c>
    </row>
    <row r="12" spans="1:7" x14ac:dyDescent="0.2">
      <c r="A12" s="1" t="s">
        <v>16</v>
      </c>
      <c r="B12" s="3">
        <v>44486</v>
      </c>
      <c r="C12" s="1">
        <v>100</v>
      </c>
      <c r="D12" s="4">
        <v>0.155</v>
      </c>
      <c r="E12" s="5">
        <f t="shared" si="0"/>
        <v>7.75</v>
      </c>
      <c r="F12" s="1">
        <v>0</v>
      </c>
      <c r="G12" s="1">
        <f t="shared" si="1"/>
        <v>7.75</v>
      </c>
    </row>
    <row r="13" spans="1:7" x14ac:dyDescent="0.2">
      <c r="A13" s="1" t="s">
        <v>16</v>
      </c>
      <c r="B13" s="3">
        <v>44668</v>
      </c>
      <c r="C13" s="1">
        <v>100</v>
      </c>
      <c r="D13" s="4">
        <v>0.155</v>
      </c>
      <c r="E13" s="5">
        <f t="shared" si="0"/>
        <v>7.75</v>
      </c>
      <c r="F13" s="1">
        <v>0</v>
      </c>
      <c r="G13" s="1">
        <f t="shared" si="1"/>
        <v>7.75</v>
      </c>
    </row>
    <row r="14" spans="1:7" x14ac:dyDescent="0.2">
      <c r="A14" s="1" t="s">
        <v>16</v>
      </c>
      <c r="B14" s="3">
        <v>44851</v>
      </c>
      <c r="C14" s="1">
        <v>100</v>
      </c>
      <c r="D14" s="4">
        <v>0.155</v>
      </c>
      <c r="E14" s="5">
        <f t="shared" si="0"/>
        <v>7.75</v>
      </c>
      <c r="F14" s="1">
        <v>0</v>
      </c>
      <c r="G14" s="1">
        <f t="shared" si="1"/>
        <v>7.75</v>
      </c>
    </row>
    <row r="15" spans="1:7" x14ac:dyDescent="0.2">
      <c r="A15" s="1" t="s">
        <v>16</v>
      </c>
      <c r="B15" s="3">
        <v>45033</v>
      </c>
      <c r="C15" s="1">
        <v>100</v>
      </c>
      <c r="D15" s="4">
        <v>0.155</v>
      </c>
      <c r="E15" s="5">
        <f t="shared" si="0"/>
        <v>7.75</v>
      </c>
      <c r="F15" s="1">
        <v>0</v>
      </c>
      <c r="G15" s="1">
        <f t="shared" si="1"/>
        <v>7.75</v>
      </c>
    </row>
    <row r="16" spans="1:7" x14ac:dyDescent="0.2">
      <c r="A16" s="1" t="s">
        <v>16</v>
      </c>
      <c r="B16" s="3">
        <v>45216</v>
      </c>
      <c r="C16" s="1">
        <v>100</v>
      </c>
      <c r="D16" s="4">
        <v>0.155</v>
      </c>
      <c r="E16" s="5">
        <f t="shared" si="0"/>
        <v>7.75</v>
      </c>
      <c r="F16" s="1">
        <v>0</v>
      </c>
      <c r="G16" s="1">
        <f t="shared" si="1"/>
        <v>7.75</v>
      </c>
    </row>
    <row r="17" spans="1:7" x14ac:dyDescent="0.2">
      <c r="A17" s="1" t="s">
        <v>16</v>
      </c>
      <c r="B17" s="3">
        <v>45399</v>
      </c>
      <c r="C17" s="1">
        <v>100</v>
      </c>
      <c r="D17" s="4">
        <v>0.155</v>
      </c>
      <c r="E17" s="5">
        <f t="shared" si="0"/>
        <v>7.75</v>
      </c>
      <c r="F17" s="1">
        <v>0</v>
      </c>
      <c r="G17" s="1">
        <f t="shared" si="1"/>
        <v>7.75</v>
      </c>
    </row>
    <row r="18" spans="1:7" x14ac:dyDescent="0.2">
      <c r="A18" s="1" t="s">
        <v>16</v>
      </c>
      <c r="B18" s="3">
        <v>45582</v>
      </c>
      <c r="C18" s="1">
        <v>100</v>
      </c>
      <c r="D18" s="4">
        <v>0.155</v>
      </c>
      <c r="E18" s="5">
        <f t="shared" si="0"/>
        <v>7.75</v>
      </c>
      <c r="F18" s="1">
        <v>0</v>
      </c>
      <c r="G18" s="1">
        <f t="shared" si="1"/>
        <v>7.75</v>
      </c>
    </row>
    <row r="19" spans="1:7" x14ac:dyDescent="0.2">
      <c r="A19" s="1" t="s">
        <v>16</v>
      </c>
      <c r="B19" s="3">
        <v>45764</v>
      </c>
      <c r="C19" s="1">
        <v>100</v>
      </c>
      <c r="D19" s="4">
        <v>0.155</v>
      </c>
      <c r="E19" s="5">
        <f t="shared" si="0"/>
        <v>7.75</v>
      </c>
      <c r="F19" s="1">
        <v>0</v>
      </c>
      <c r="G19" s="1">
        <f t="shared" si="1"/>
        <v>7.75</v>
      </c>
    </row>
    <row r="20" spans="1:7" x14ac:dyDescent="0.2">
      <c r="A20" s="1" t="s">
        <v>16</v>
      </c>
      <c r="B20" s="3">
        <v>45947</v>
      </c>
      <c r="C20" s="1">
        <v>100</v>
      </c>
      <c r="D20" s="4">
        <v>0.155</v>
      </c>
      <c r="E20" s="5">
        <f t="shared" si="0"/>
        <v>7.75</v>
      </c>
      <c r="F20" s="1">
        <v>0</v>
      </c>
      <c r="G20" s="1">
        <f t="shared" si="1"/>
        <v>7.75</v>
      </c>
    </row>
    <row r="21" spans="1:7" x14ac:dyDescent="0.2">
      <c r="A21" s="1" t="s">
        <v>16</v>
      </c>
      <c r="B21" s="3">
        <v>46129</v>
      </c>
      <c r="C21" s="1">
        <v>100</v>
      </c>
      <c r="D21" s="4">
        <v>0.155</v>
      </c>
      <c r="E21" s="5">
        <f t="shared" si="0"/>
        <v>7.75</v>
      </c>
      <c r="F21" s="1">
        <v>0</v>
      </c>
      <c r="G21" s="1">
        <f t="shared" si="1"/>
        <v>7.75</v>
      </c>
    </row>
    <row r="22" spans="1:7" x14ac:dyDescent="0.2">
      <c r="A22" s="1" t="s">
        <v>16</v>
      </c>
      <c r="B22" s="3">
        <v>46312</v>
      </c>
      <c r="C22" s="1">
        <f>C21-F22</f>
        <v>0</v>
      </c>
      <c r="D22" s="4">
        <v>0.155</v>
      </c>
      <c r="E22" s="5">
        <f t="shared" si="0"/>
        <v>7.75</v>
      </c>
      <c r="F22" s="1">
        <v>100</v>
      </c>
      <c r="G22" s="1">
        <f t="shared" si="1"/>
        <v>107.75</v>
      </c>
    </row>
    <row r="24" spans="1:7" x14ac:dyDescent="0.2">
      <c r="A24" s="2" t="s">
        <v>0</v>
      </c>
      <c r="B24" s="2" t="s">
        <v>10</v>
      </c>
      <c r="C24" s="2" t="s">
        <v>11</v>
      </c>
      <c r="D24" s="2" t="s">
        <v>14</v>
      </c>
      <c r="E24" s="2" t="s">
        <v>12</v>
      </c>
      <c r="F24" s="2" t="s">
        <v>13</v>
      </c>
      <c r="G24" s="2" t="s">
        <v>15</v>
      </c>
    </row>
    <row r="25" spans="1:7" x14ac:dyDescent="0.2">
      <c r="A25" s="1" t="s">
        <v>17</v>
      </c>
      <c r="B25" s="3">
        <v>45812</v>
      </c>
      <c r="C25" s="1">
        <v>100</v>
      </c>
      <c r="D25" s="4">
        <v>0.29499999999999998</v>
      </c>
      <c r="E25" s="5">
        <v>0</v>
      </c>
      <c r="F25" s="1">
        <v>0</v>
      </c>
      <c r="G25" s="1">
        <f>F25+E25</f>
        <v>0</v>
      </c>
    </row>
    <row r="26" spans="1:7" x14ac:dyDescent="0.2">
      <c r="A26" s="1" t="s">
        <v>17</v>
      </c>
      <c r="B26" s="3">
        <v>45991</v>
      </c>
      <c r="C26" s="1">
        <v>100</v>
      </c>
      <c r="D26" s="4">
        <v>0.29499999999999998</v>
      </c>
      <c r="E26" s="5">
        <f>((D26*C25)/360)*DAYS360(B25,B26)</f>
        <v>14.422222222222222</v>
      </c>
      <c r="F26" s="1">
        <v>0</v>
      </c>
      <c r="G26" s="5">
        <f t="shared" ref="G26:G35" si="2">F26+E26</f>
        <v>14.422222222222222</v>
      </c>
    </row>
    <row r="27" spans="1:7" x14ac:dyDescent="0.2">
      <c r="A27" s="1" t="s">
        <v>17</v>
      </c>
      <c r="B27" s="3">
        <v>46172</v>
      </c>
      <c r="C27" s="1">
        <v>100</v>
      </c>
      <c r="D27" s="4">
        <v>0.29499999999999998</v>
      </c>
      <c r="E27" s="5">
        <f t="shared" ref="E27:E35" si="3">((D27*C26)/360)*DAYS360(B26,B27)</f>
        <v>14.75</v>
      </c>
      <c r="F27" s="1">
        <v>0</v>
      </c>
      <c r="G27" s="1">
        <f t="shared" si="2"/>
        <v>14.75</v>
      </c>
    </row>
    <row r="28" spans="1:7" x14ac:dyDescent="0.2">
      <c r="A28" s="1" t="s">
        <v>17</v>
      </c>
      <c r="B28" s="3">
        <v>46356</v>
      </c>
      <c r="C28" s="1">
        <v>100</v>
      </c>
      <c r="D28" s="4">
        <v>0.29499999999999998</v>
      </c>
      <c r="E28" s="5">
        <f t="shared" si="3"/>
        <v>14.75</v>
      </c>
      <c r="F28" s="1">
        <v>0</v>
      </c>
      <c r="G28" s="1">
        <f t="shared" si="2"/>
        <v>14.75</v>
      </c>
    </row>
    <row r="29" spans="1:7" x14ac:dyDescent="0.2">
      <c r="A29" s="1" t="s">
        <v>17</v>
      </c>
      <c r="B29" s="3">
        <v>46537</v>
      </c>
      <c r="C29" s="1">
        <v>100</v>
      </c>
      <c r="D29" s="4">
        <v>0.29499999999999998</v>
      </c>
      <c r="E29" s="5">
        <f t="shared" si="3"/>
        <v>14.75</v>
      </c>
      <c r="F29" s="1">
        <v>0</v>
      </c>
      <c r="G29" s="1">
        <f t="shared" si="2"/>
        <v>14.75</v>
      </c>
    </row>
    <row r="30" spans="1:7" x14ac:dyDescent="0.2">
      <c r="A30" s="1" t="s">
        <v>17</v>
      </c>
      <c r="B30" s="3">
        <v>46721</v>
      </c>
      <c r="C30" s="1">
        <v>100</v>
      </c>
      <c r="D30" s="4">
        <v>0.29499999999999998</v>
      </c>
      <c r="E30" s="5">
        <f t="shared" si="3"/>
        <v>14.75</v>
      </c>
      <c r="F30" s="1">
        <v>0</v>
      </c>
      <c r="G30" s="1">
        <f t="shared" si="2"/>
        <v>14.75</v>
      </c>
    </row>
    <row r="31" spans="1:7" x14ac:dyDescent="0.2">
      <c r="A31" s="1" t="s">
        <v>17</v>
      </c>
      <c r="B31" s="3">
        <v>46903</v>
      </c>
      <c r="C31" s="1">
        <v>100</v>
      </c>
      <c r="D31" s="4">
        <v>0.29499999999999998</v>
      </c>
      <c r="E31" s="5">
        <f t="shared" si="3"/>
        <v>14.75</v>
      </c>
      <c r="F31" s="1">
        <v>0</v>
      </c>
      <c r="G31" s="1">
        <f t="shared" si="2"/>
        <v>14.75</v>
      </c>
    </row>
    <row r="32" spans="1:7" x14ac:dyDescent="0.2">
      <c r="A32" s="1" t="s">
        <v>17</v>
      </c>
      <c r="B32" s="3">
        <v>47087</v>
      </c>
      <c r="C32" s="1">
        <v>100</v>
      </c>
      <c r="D32" s="4">
        <v>0.29499999999999998</v>
      </c>
      <c r="E32" s="5">
        <f t="shared" si="3"/>
        <v>14.75</v>
      </c>
      <c r="F32" s="1">
        <v>0</v>
      </c>
      <c r="G32" s="1">
        <f t="shared" si="2"/>
        <v>14.75</v>
      </c>
    </row>
    <row r="33" spans="1:7" x14ac:dyDescent="0.2">
      <c r="A33" s="1" t="s">
        <v>17</v>
      </c>
      <c r="B33" s="3">
        <v>47268</v>
      </c>
      <c r="C33" s="1">
        <v>100</v>
      </c>
      <c r="D33" s="4">
        <v>0.29499999999999998</v>
      </c>
      <c r="E33" s="5">
        <f t="shared" si="3"/>
        <v>14.75</v>
      </c>
      <c r="F33" s="1">
        <v>0</v>
      </c>
      <c r="G33" s="1">
        <f t="shared" si="2"/>
        <v>14.75</v>
      </c>
    </row>
    <row r="34" spans="1:7" x14ac:dyDescent="0.2">
      <c r="A34" s="1" t="s">
        <v>17</v>
      </c>
      <c r="B34" s="3">
        <v>47452</v>
      </c>
      <c r="C34" s="1">
        <v>100</v>
      </c>
      <c r="D34" s="4">
        <v>0.29499999999999998</v>
      </c>
      <c r="E34" s="5">
        <f t="shared" si="3"/>
        <v>14.75</v>
      </c>
      <c r="F34" s="1">
        <v>0</v>
      </c>
      <c r="G34" s="1">
        <f t="shared" si="2"/>
        <v>14.75</v>
      </c>
    </row>
    <row r="35" spans="1:7" x14ac:dyDescent="0.2">
      <c r="A35" s="1" t="s">
        <v>17</v>
      </c>
      <c r="B35" s="3">
        <v>47633</v>
      </c>
      <c r="C35" s="1">
        <f>C34-F35</f>
        <v>0</v>
      </c>
      <c r="D35" s="4">
        <v>0.29499999999999998</v>
      </c>
      <c r="E35" s="5">
        <f t="shared" si="3"/>
        <v>14.75</v>
      </c>
      <c r="F35" s="1">
        <v>100</v>
      </c>
      <c r="G35" s="1">
        <f t="shared" si="2"/>
        <v>114.75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569F-8AD1-4E3B-A067-A5AC4159279E}">
  <dimension ref="A1:G28"/>
  <sheetViews>
    <sheetView workbookViewId="0">
      <selection activeCell="E16" sqref="E16"/>
    </sheetView>
  </sheetViews>
  <sheetFormatPr baseColWidth="10" defaultRowHeight="15" x14ac:dyDescent="0.2"/>
  <cols>
    <col min="1" max="6" width="17.83203125" customWidth="1"/>
  </cols>
  <sheetData>
    <row r="1" spans="1:7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inlineStr">
        <is>
          <t>VF pendiente (c/100 VN)</t>
        </is>
      </c>
    </row>
    <row r="3" spans="1:6" x14ac:dyDescent="0.2">
      <c r="A3" s="1" t="s">
        <v>41</v>
      </c>
      <c r="B3" s="1" t="s">
        <v>24</v>
      </c>
      <c r="C3" s="3">
        <v>45596</v>
      </c>
      <c r="D3" s="3">
        <v>46325</v>
      </c>
      <c r="E3" s="1">
        <v>10</v>
      </c>
      <c r="F3" s="1">
        <v>0</v>
      </c>
    </row>
    <row r="4" spans="1:6" x14ac:dyDescent="0.2">
      <c r="A4" s="1" t="s">
        <v>42</v>
      </c>
      <c r="B4" s="1" t="s">
        <v>24</v>
      </c>
      <c r="C4" s="3">
        <v>45366</v>
      </c>
      <c r="D4" s="3">
        <v>46371</v>
      </c>
      <c r="E4" s="1">
        <v>10</v>
      </c>
      <c r="F4" s="1">
        <v>0</v>
      </c>
    </row>
    <row r="5" spans="1:6" x14ac:dyDescent="0.2">
      <c r="A5" s="1" t="s">
        <v>43</v>
      </c>
      <c r="B5" s="1" t="s">
        <v>24</v>
      </c>
      <c r="C5" s="3">
        <v>45432</v>
      </c>
      <c r="D5" s="3">
        <v>46477</v>
      </c>
      <c r="E5" s="1">
        <v>10</v>
      </c>
      <c r="F5" s="1">
        <v>0</v>
      </c>
    </row>
    <row r="6" spans="1:6" x14ac:dyDescent="0.2">
      <c r="A6" s="1" t="s">
        <v>44</v>
      </c>
      <c r="B6" s="1" t="s">
        <v>24</v>
      </c>
      <c r="C6" s="3">
        <v>45989</v>
      </c>
      <c r="D6" s="3">
        <v>46507</v>
      </c>
      <c r="E6" s="1">
        <v>10</v>
      </c>
      <c r="F6" s="1">
        <v>0</v>
      </c>
    </row>
    <row r="7" spans="1:6" x14ac:dyDescent="0.2">
      <c r="A7" s="1" t="s">
        <v>23</v>
      </c>
      <c r="B7" s="1" t="s">
        <v>24</v>
      </c>
      <c r="C7" s="3">
        <v>45323</v>
      </c>
      <c r="D7" s="3">
        <v>46568</v>
      </c>
      <c r="E7" s="1">
        <v>10</v>
      </c>
      <c r="F7" s="1">
        <v>0</v>
      </c>
    </row>
    <row r="8" spans="1:6" x14ac:dyDescent="0.2">
      <c r="A8" s="1" t="s">
        <v>45</v>
      </c>
      <c r="B8" s="1" t="s">
        <v>24</v>
      </c>
      <c r="C8" s="3">
        <v>46112</v>
      </c>
      <c r="D8" s="3">
        <v>46660</v>
      </c>
      <c r="E8" s="1">
        <v>10</v>
      </c>
      <c r="F8" s="1">
        <v>0</v>
      </c>
    </row>
    <row r="9" spans="1:6" x14ac:dyDescent="0.2">
      <c r="A9" s="1" t="s">
        <v>46</v>
      </c>
      <c r="B9" s="1" t="s">
        <v>24</v>
      </c>
      <c r="C9" s="3">
        <v>45366</v>
      </c>
      <c r="D9" s="3">
        <v>46736</v>
      </c>
      <c r="E9" s="1">
        <v>10</v>
      </c>
      <c r="F9" s="1">
        <v>0</v>
      </c>
    </row>
    <row r="10" spans="1:6" x14ac:dyDescent="0.2">
      <c r="A10" s="1" t="s">
        <v>47</v>
      </c>
      <c r="B10" s="1" t="s">
        <v>24</v>
      </c>
      <c r="C10" s="3">
        <v>46113</v>
      </c>
      <c r="D10" s="3">
        <v>46843</v>
      </c>
      <c r="E10" s="1">
        <v>10</v>
      </c>
      <c r="F10" s="1">
        <v>0</v>
      </c>
    </row>
    <row r="11" spans="1:6" x14ac:dyDescent="0.2">
      <c r="A11" s="1" t="s">
        <v>48</v>
      </c>
      <c r="B11" s="1" t="s">
        <v>24</v>
      </c>
      <c r="C11" s="3">
        <v>45323</v>
      </c>
      <c r="D11" s="3">
        <v>46934</v>
      </c>
      <c r="E11" s="1">
        <v>10</v>
      </c>
      <c r="F11" s="1">
        <v>0</v>
      </c>
    </row>
    <row r="12" spans="1:6" x14ac:dyDescent="0.2">
      <c r="A12" s="1" t="s">
        <v>49</v>
      </c>
      <c r="B12" s="1" t="s">
        <v>24</v>
      </c>
      <c r="C12" s="3">
        <v>46112</v>
      </c>
      <c r="D12" s="3">
        <v>47025</v>
      </c>
      <c r="E12" s="1">
        <v>10</v>
      </c>
      <c r="F12" s="1">
        <v>0</v>
      </c>
    </row>
    <row r="13" spans="1:6" x14ac:dyDescent="0.2">
      <c r="A13" s="1" t="s">
        <v>50</v>
      </c>
      <c r="B13" s="1" t="s">
        <v>24</v>
      </c>
      <c r="C13" s="3">
        <v>46113</v>
      </c>
      <c r="D13" s="3">
        <v>47205</v>
      </c>
      <c r="E13" s="1">
        <v>10</v>
      </c>
      <c r="F13" s="1">
        <v>0</v>
      </c>
    </row>
    <row r="14" spans="1:6" x14ac:dyDescent="0.2">
      <c r="A14" s="1" t="s">
        <v>96</v>
      </c>
      <c r="B14" s="1" t="s">
        <v>24</v>
      </c>
      <c r="C14" s="3">
        <v>46203</v>
      </c>
      <c r="D14" s="3">
        <v>46689</v>
      </c>
      <c r="E14" s="1">
        <v>10</v>
      </c>
      <c r="F14" s="1">
        <v>0</v>
      </c>
    </row>
    <row r="15" spans="1:6" x14ac:dyDescent="0.2">
      <c r="A15" s="1" t="s">
        <v>97</v>
      </c>
      <c r="B15" s="1" t="s">
        <v>24</v>
      </c>
      <c r="C15" s="3">
        <v>46203</v>
      </c>
      <c r="D15" s="3">
        <v>47102</v>
      </c>
      <c r="E15" s="1">
        <v>10</v>
      </c>
      <c r="F15" s="1">
        <v>0</v>
      </c>
    </row>
    <row r="16" spans="1:6" x14ac:dyDescent="0.2">
      <c r="A16" s="1"/>
      <c r="B16" s="1"/>
      <c r="C16" s="3"/>
      <c r="D16" s="3"/>
      <c r="E16" s="1"/>
      <c r="F16" s="1"/>
    </row>
    <row r="17" spans="1:6" x14ac:dyDescent="0.2">
      <c r="A17" s="1"/>
      <c r="B17" s="1"/>
      <c r="C17" s="3"/>
      <c r="D17" s="3"/>
      <c r="E17" s="1"/>
      <c r="F17" s="1"/>
    </row>
    <row r="18" spans="1:6" x14ac:dyDescent="0.2">
      <c r="A18" s="1" t="s">
        <v>101</v>
      </c>
      <c r="B18" s="1" t="s">
        <v>24</v>
      </c>
      <c r="C18" s="3">
        <v>46006</v>
      </c>
      <c r="D18" s="3">
        <v>46538</v>
      </c>
      <c r="E18" s="1">
        <v>10</v>
      </c>
      <c r="F18" s="1">
        <v>0</v>
      </c>
    </row>
    <row r="19" spans="1:6" x14ac:dyDescent="0.2">
      <c r="A19" s="1" t="s">
        <v>102</v>
      </c>
      <c r="B19" s="1" t="s">
        <v>24</v>
      </c>
      <c r="C19" s="3">
        <v>46006</v>
      </c>
      <c r="D19" s="3">
        <v>46356</v>
      </c>
      <c r="E19" s="1">
        <v>10</v>
      </c>
      <c r="F19" s="1">
        <v>0</v>
      </c>
    </row>
    <row r="21" spans="1:6" x14ac:dyDescent="0.2">
      <c r="A21" s="1" t="s">
        <v>104</v>
      </c>
      <c r="B21" s="1" t="s">
        <v>24</v>
      </c>
      <c r="C21" s="3">
        <v>46097</v>
      </c>
      <c r="D21" s="3">
        <v>46295</v>
      </c>
      <c r="E21" s="1">
        <v>10</v>
      </c>
      <c r="F21" s="1">
        <v>0</v>
      </c>
    </row>
    <row r="22" spans="1:6">
      <c r="A22" s="1" t="inlineStr">
        <is>
          <t>X29E7</t>
        </is>
      </c>
      <c r="B22" s="1" t="inlineStr">
        <is>
          <t>CER</t>
        </is>
      </c>
      <c r="C22" s="3">
        <v>46248</v>
      </c>
      <c r="D22" s="3">
        <v>46416</v>
      </c>
      <c r="E22" s="1">
        <v>10</v>
      </c>
      <c r="F22" s="1">
        <v>0</v>
      </c>
    </row>
    <row r="23" spans="1:6">
      <c r="A23" s="1" t="inlineStr">
        <is>
          <t>TX28</t>
        </is>
      </c>
      <c r="B23" s="1" t="inlineStr">
        <is>
          <t>CER</t>
        </is>
      </c>
      <c r="C23" s="3">
        <v>44078</v>
      </c>
      <c r="D23" s="3">
        <v>47066</v>
      </c>
      <c r="E23" s="1">
        <v>10</v>
      </c>
      <c r="F23" s="1">
        <v>0</v>
      </c>
    </row>
    <row r="24" spans="1:6">
      <c r="A24" s="1" t="inlineStr">
        <is>
          <t>TX31</t>
        </is>
      </c>
      <c r="B24" s="1" t="inlineStr">
        <is>
          <t>CER</t>
        </is>
      </c>
      <c r="C24" s="3">
        <v>44712</v>
      </c>
      <c r="D24" s="3">
        <v>48182</v>
      </c>
      <c r="E24" s="1">
        <v>10</v>
      </c>
      <c r="F24" s="1">
        <v>0</v>
      </c>
    </row>
    <row r="25" spans="1:6">
      <c r="A25" s="1" t="inlineStr">
        <is>
          <t>DICP</t>
        </is>
      </c>
      <c r="B25" s="1" t="inlineStr">
        <is>
          <t>CER</t>
        </is>
      </c>
      <c r="C25" s="3">
        <v>37986</v>
      </c>
      <c r="D25" s="3">
        <v>48944</v>
      </c>
      <c r="E25" s="1">
        <v>10</v>
      </c>
      <c r="F25" s="1">
        <v>0</v>
      </c>
    </row>
    <row r="26" spans="1:6">
      <c r="A26" s="1" t="inlineStr">
        <is>
          <t>PARP</t>
        </is>
      </c>
      <c r="B26" s="1" t="inlineStr">
        <is>
          <t>CER</t>
        </is>
      </c>
      <c r="C26" s="3">
        <v>37986</v>
      </c>
      <c r="D26" s="3">
        <v>50770</v>
      </c>
      <c r="E26" s="1">
        <v>10</v>
      </c>
      <c r="F26" s="1">
        <v>0</v>
      </c>
    </row>
    <row r="27" spans="1:6">
      <c r="A27" s="1" t="inlineStr">
        <is>
          <t>CUAP</t>
        </is>
      </c>
      <c r="B27" s="1" t="inlineStr">
        <is>
          <t>CER</t>
        </is>
      </c>
      <c r="C27" s="3">
        <v>37986</v>
      </c>
      <c r="D27" s="3">
        <v>53327</v>
      </c>
      <c r="E27" s="1">
        <v>10</v>
      </c>
      <c r="F27" s="1">
        <v>0</v>
      </c>
    </row>
    <row r="28" spans="1:7">
      <c r="A28" s="1" t="inlineStr">
        <is>
          <t>TX26</t>
        </is>
      </c>
      <c r="B28" s="1" t="inlineStr">
        <is>
          <t>CER</t>
        </is>
      </c>
      <c r="C28" s="3">
        <v>44078</v>
      </c>
      <c r="D28" s="3">
        <v>46335</v>
      </c>
      <c r="E28" s="1">
        <v>10</v>
      </c>
      <c r="F28" s="1">
        <v>0</v>
      </c>
      <c r="G28" s="1">
        <v>20.2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D422-24E5-4A5A-9B1F-3DDF62A8DF41}">
  <dimension ref="A1:F8"/>
  <sheetViews>
    <sheetView workbookViewId="0">
      <selection activeCell="C17" sqref="C17"/>
    </sheetView>
  </sheetViews>
  <sheetFormatPr baseColWidth="10" defaultRowHeight="15" x14ac:dyDescent="0.2"/>
  <cols>
    <col min="1" max="6" width="20.5" customWidth="1"/>
    <col min="7" max="7" width="14.5" customWidth="1"/>
  </cols>
  <sheetData>
    <row r="1" spans="1:6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28</v>
      </c>
      <c r="F1" s="2" t="s">
        <v>21</v>
      </c>
    </row>
    <row r="3" spans="1:6" x14ac:dyDescent="0.2">
      <c r="A3" s="1" t="s">
        <v>25</v>
      </c>
      <c r="B3" s="1" t="s">
        <v>27</v>
      </c>
      <c r="C3" s="3">
        <v>46066</v>
      </c>
      <c r="D3" s="3">
        <v>46444</v>
      </c>
      <c r="E3" s="1">
        <v>10</v>
      </c>
      <c r="F3" s="4">
        <v>6.5000000000000002E-2</v>
      </c>
    </row>
    <row r="4" spans="1:6" x14ac:dyDescent="0.2">
      <c r="A4" s="1" t="s">
        <v>26</v>
      </c>
      <c r="B4" s="1" t="s">
        <v>27</v>
      </c>
      <c r="C4" s="3">
        <v>46112</v>
      </c>
      <c r="D4" s="3">
        <v>46630</v>
      </c>
      <c r="E4" s="1">
        <v>10</v>
      </c>
      <c r="F4" s="6">
        <v>0.06</v>
      </c>
    </row>
    <row r="5" spans="1:6" x14ac:dyDescent="0.2">
      <c r="A5" s="1" t="s">
        <v>52</v>
      </c>
      <c r="B5" s="1" t="s">
        <v>27</v>
      </c>
      <c r="C5" s="3">
        <v>46132</v>
      </c>
      <c r="D5" s="3">
        <v>46808</v>
      </c>
      <c r="E5" s="1">
        <v>10</v>
      </c>
      <c r="F5" s="4">
        <v>6.5000000000000002E-2</v>
      </c>
    </row>
    <row r="6" spans="1:6" x14ac:dyDescent="0.2">
      <c r="A6" s="1" t="s">
        <v>53</v>
      </c>
      <c r="B6" s="1" t="s">
        <v>27</v>
      </c>
      <c r="C6" s="3">
        <v>46142</v>
      </c>
      <c r="D6" s="3">
        <v>46996</v>
      </c>
      <c r="E6" s="1">
        <v>10</v>
      </c>
      <c r="F6" s="4">
        <v>6.9000000000000006E-2</v>
      </c>
    </row>
    <row r="7" spans="1:6" x14ac:dyDescent="0.2">
      <c r="A7" s="1" t="s">
        <v>98</v>
      </c>
      <c r="B7" s="1" t="s">
        <v>27</v>
      </c>
      <c r="C7" s="3">
        <v>46203</v>
      </c>
      <c r="D7" s="3">
        <v>46598</v>
      </c>
      <c r="E7" s="1">
        <v>10</v>
      </c>
      <c r="F7" s="4">
        <v>5.3999999999999999E-2</v>
      </c>
    </row>
    <row r="8" spans="1:6" x14ac:dyDescent="0.2">
      <c r="A8" s="1"/>
      <c r="B8" s="1"/>
      <c r="C8" s="3"/>
      <c r="D8" s="3"/>
      <c r="E8" s="1"/>
      <c r="F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2C03-5D2E-4402-9FEE-10F6AEE7B245}">
  <dimension ref="A1:F12"/>
  <sheetViews>
    <sheetView tabSelected="1" workbookViewId="0">
      <selection activeCell="B18" sqref="B18"/>
    </sheetView>
  </sheetViews>
  <sheetFormatPr baseColWidth="10" defaultRowHeight="15" x14ac:dyDescent="0.2"/>
  <cols>
    <col min="1" max="6" width="19.1640625" customWidth="1"/>
  </cols>
  <sheetData>
    <row r="1" spans="1:6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54</v>
      </c>
      <c r="F1" s="2" t="s">
        <v>21</v>
      </c>
    </row>
    <row r="2" spans="1:6" x14ac:dyDescent="0.2">
      <c r="A2" s="2" t="s">
        <v>0</v>
      </c>
      <c r="B2" s="2" t="s">
        <v>1</v>
      </c>
      <c r="C2" s="2" t="s">
        <v>18</v>
      </c>
      <c r="D2" s="2" t="s">
        <v>19</v>
      </c>
      <c r="E2" s="2" t="s">
        <v>54</v>
      </c>
      <c r="F2" s="2" t="s">
        <v>21</v>
      </c>
    </row>
    <row r="3" spans="1:6" x14ac:dyDescent="0.2">
      <c r="A3" s="1" t="s">
        <v>57</v>
      </c>
      <c r="B3" s="1" t="s">
        <v>56</v>
      </c>
      <c r="C3" s="3">
        <v>46097</v>
      </c>
      <c r="D3" s="3">
        <v>46295</v>
      </c>
      <c r="E3" s="1">
        <v>1396.45</v>
      </c>
      <c r="F3" s="1">
        <v>0</v>
      </c>
    </row>
    <row r="4" spans="1:6" x14ac:dyDescent="0.2">
      <c r="A4" s="1" t="s">
        <v>58</v>
      </c>
      <c r="B4" s="1" t="s">
        <v>56</v>
      </c>
      <c r="C4" s="3">
        <v>46080</v>
      </c>
      <c r="D4" s="3">
        <v>46568</v>
      </c>
      <c r="E4" s="1">
        <v>1377.09</v>
      </c>
      <c r="F4" s="1">
        <v>0</v>
      </c>
    </row>
    <row r="5" spans="1:6" x14ac:dyDescent="0.2">
      <c r="A5" s="1" t="s">
        <v>59</v>
      </c>
      <c r="B5" s="1" t="s">
        <v>56</v>
      </c>
      <c r="C5" s="3">
        <v>46112</v>
      </c>
      <c r="D5" s="3">
        <v>46934</v>
      </c>
      <c r="E5" s="1">
        <v>1370.29</v>
      </c>
      <c r="F5" s="1">
        <v>0</v>
      </c>
    </row>
    <row r="6" spans="1:6" x14ac:dyDescent="0.2">
      <c r="A6" s="1" t="s">
        <v>84</v>
      </c>
      <c r="B6" s="1" t="s">
        <v>56</v>
      </c>
      <c r="C6" s="3">
        <v>46171</v>
      </c>
      <c r="D6" s="3">
        <v>46477</v>
      </c>
      <c r="E6" s="1">
        <v>1407.89</v>
      </c>
      <c r="F6" s="1">
        <v>0</v>
      </c>
    </row>
    <row r="8" spans="1:6" x14ac:dyDescent="0.2">
      <c r="A8" s="1" t="s">
        <v>91</v>
      </c>
      <c r="B8" s="1" t="s">
        <v>56</v>
      </c>
      <c r="C8" s="3">
        <v>46185</v>
      </c>
      <c r="D8" s="3">
        <v>47102</v>
      </c>
      <c r="E8" s="1">
        <v>1446.17</v>
      </c>
      <c r="F8" s="1">
        <v>0</v>
      </c>
    </row>
    <row r="9" spans="1:6" x14ac:dyDescent="0.2">
      <c r="A9" s="1" t="s">
        <v>100</v>
      </c>
      <c r="B9" s="1" t="s">
        <v>56</v>
      </c>
      <c r="C9" s="3">
        <v>46220</v>
      </c>
      <c r="D9" s="3">
        <v>46517</v>
      </c>
      <c r="E9" s="1">
        <v>1474.74</v>
      </c>
      <c r="F9" s="1">
        <v>0</v>
      </c>
    </row>
    <row r="10" spans="1:6" x14ac:dyDescent="0.2">
      <c r="A10" s="1" t="inlineStr">
        <is>
          <t>D15E7</t>
        </is>
      </c>
      <c r="B10" s="1" t="inlineStr">
        <is>
          <t>Linked</t>
        </is>
      </c>
      <c r="C10" s="3">
        <v>46234</v>
      </c>
      <c r="D10" s="3">
        <v>46402</v>
      </c>
      <c r="E10" s="1">
        <v>1499.84</v>
      </c>
      <c r="F10" s="1">
        <v>0</v>
      </c>
    </row>
    <row r="11" spans="1:6">
      <c r="A11" s="1" t="inlineStr">
        <is>
          <t>D30O6</t>
        </is>
      </c>
      <c r="B11" s="1" t="inlineStr">
        <is>
          <t>Linked</t>
        </is>
      </c>
      <c r="C11" s="3">
        <v>46248</v>
      </c>
      <c r="D11" s="3">
        <v>46325</v>
      </c>
      <c r="E11" s="1">
        <v>1492.18</v>
      </c>
      <c r="F11" s="1">
        <v>0</v>
      </c>
    </row>
    <row r="12" spans="1:6">
      <c r="A12" s="1" t="inlineStr">
        <is>
          <t>D30N6</t>
        </is>
      </c>
      <c r="B12" s="1" t="inlineStr">
        <is>
          <t>Linked</t>
        </is>
      </c>
      <c r="C12" s="3">
        <v>46280</v>
      </c>
      <c r="D12" s="3">
        <v>46356</v>
      </c>
      <c r="E12" s="1">
        <v>1513.0</v>
      </c>
      <c r="F1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59B8-DD43-4B7F-9329-422163A0A2B5}">
  <dimension ref="A1:J264"/>
  <sheetViews>
    <sheetView topLeftCell="A179" workbookViewId="0">
      <selection activeCell="B237" sqref="B237"/>
    </sheetView>
  </sheetViews>
  <sheetFormatPr baseColWidth="10" defaultRowHeight="15" x14ac:dyDescent="0.2"/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60</v>
      </c>
      <c r="B2" s="3">
        <v>46080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60</v>
      </c>
      <c r="B3" s="3">
        <v>46112</v>
      </c>
      <c r="C3" s="1">
        <v>100</v>
      </c>
      <c r="D3" s="4">
        <v>0.06</v>
      </c>
      <c r="E3" s="5">
        <f>((D3*C2)/360)*DAYS360(B2,B3)</f>
        <v>0.56666666666666665</v>
      </c>
      <c r="F3" s="1">
        <v>0</v>
      </c>
      <c r="G3" s="1">
        <f>F3+E3</f>
        <v>0.56666666666666665</v>
      </c>
    </row>
    <row r="4" spans="1:7" x14ac:dyDescent="0.2">
      <c r="A4" s="1" t="s">
        <v>60</v>
      </c>
      <c r="B4" s="3">
        <v>46142</v>
      </c>
      <c r="C4" s="1">
        <v>100</v>
      </c>
      <c r="D4" s="4">
        <v>0.06</v>
      </c>
      <c r="E4" s="5">
        <f t="shared" ref="E4:E22" si="0">((D4*C3)/360)*DAYS360(B3,B4)</f>
        <v>0.5</v>
      </c>
      <c r="F4" s="1">
        <v>0</v>
      </c>
      <c r="G4" s="1">
        <f t="shared" ref="G4:G22" si="1">F4+E4</f>
        <v>0.5</v>
      </c>
    </row>
    <row r="5" spans="1:7" x14ac:dyDescent="0.2">
      <c r="A5" s="1" t="s">
        <v>60</v>
      </c>
      <c r="B5" s="3">
        <v>46171</v>
      </c>
      <c r="C5" s="1">
        <v>100</v>
      </c>
      <c r="D5" s="4">
        <v>0.06</v>
      </c>
      <c r="E5" s="5">
        <f t="shared" si="0"/>
        <v>0.48333333333333334</v>
      </c>
      <c r="F5" s="1">
        <v>0</v>
      </c>
      <c r="G5" s="1">
        <f t="shared" si="1"/>
        <v>0.48333333333333334</v>
      </c>
    </row>
    <row r="6" spans="1:7" x14ac:dyDescent="0.2">
      <c r="A6" s="1" t="s">
        <v>60</v>
      </c>
      <c r="B6" s="3">
        <v>46203</v>
      </c>
      <c r="C6" s="1">
        <v>100</v>
      </c>
      <c r="D6" s="4">
        <v>0.06</v>
      </c>
      <c r="E6" s="5">
        <f t="shared" si="0"/>
        <v>0.51666666666666661</v>
      </c>
      <c r="F6" s="1">
        <v>0</v>
      </c>
      <c r="G6" s="1">
        <f t="shared" si="1"/>
        <v>0.51666666666666661</v>
      </c>
    </row>
    <row r="7" spans="1:7" x14ac:dyDescent="0.2">
      <c r="A7" s="1" t="s">
        <v>60</v>
      </c>
      <c r="B7" s="3">
        <v>46234</v>
      </c>
      <c r="C7" s="1">
        <v>100</v>
      </c>
      <c r="D7" s="4">
        <v>0.06</v>
      </c>
      <c r="E7" s="5">
        <f t="shared" si="0"/>
        <v>0.5</v>
      </c>
      <c r="F7" s="1">
        <v>0</v>
      </c>
      <c r="G7" s="1">
        <f t="shared" si="1"/>
        <v>0.5</v>
      </c>
    </row>
    <row r="8" spans="1:7" x14ac:dyDescent="0.2">
      <c r="A8" s="1" t="s">
        <v>60</v>
      </c>
      <c r="B8" s="3">
        <v>46265</v>
      </c>
      <c r="C8" s="1">
        <v>100</v>
      </c>
      <c r="D8" s="4">
        <v>0.06</v>
      </c>
      <c r="E8" s="5">
        <f t="shared" si="0"/>
        <v>0.5</v>
      </c>
      <c r="F8" s="1">
        <v>0</v>
      </c>
      <c r="G8" s="1">
        <f t="shared" si="1"/>
        <v>0.5</v>
      </c>
    </row>
    <row r="9" spans="1:7" x14ac:dyDescent="0.2">
      <c r="A9" s="1" t="s">
        <v>60</v>
      </c>
      <c r="B9" s="3">
        <v>46295</v>
      </c>
      <c r="C9" s="1">
        <v>100</v>
      </c>
      <c r="D9" s="4">
        <v>0.06</v>
      </c>
      <c r="E9" s="5">
        <f t="shared" si="0"/>
        <v>0.5</v>
      </c>
      <c r="F9" s="1">
        <v>0</v>
      </c>
      <c r="G9" s="1">
        <f t="shared" si="1"/>
        <v>0.5</v>
      </c>
    </row>
    <row r="10" spans="1:7" x14ac:dyDescent="0.2">
      <c r="A10" s="1" t="s">
        <v>60</v>
      </c>
      <c r="B10" s="3">
        <v>46325</v>
      </c>
      <c r="C10" s="1">
        <v>100</v>
      </c>
      <c r="D10" s="4">
        <v>0.06</v>
      </c>
      <c r="E10" s="5">
        <f t="shared" si="0"/>
        <v>0.5</v>
      </c>
      <c r="F10" s="1">
        <v>0</v>
      </c>
      <c r="G10" s="1">
        <f t="shared" si="1"/>
        <v>0.5</v>
      </c>
    </row>
    <row r="11" spans="1:7" x14ac:dyDescent="0.2">
      <c r="A11" s="1" t="s">
        <v>60</v>
      </c>
      <c r="B11" s="3">
        <v>46356</v>
      </c>
      <c r="C11" s="1">
        <v>100</v>
      </c>
      <c r="D11" s="4">
        <v>0.06</v>
      </c>
      <c r="E11" s="5">
        <f t="shared" si="0"/>
        <v>0.5</v>
      </c>
      <c r="F11" s="1">
        <v>0</v>
      </c>
      <c r="G11" s="1">
        <f t="shared" si="1"/>
        <v>0.5</v>
      </c>
    </row>
    <row r="12" spans="1:7" x14ac:dyDescent="0.2">
      <c r="A12" s="1" t="s">
        <v>60</v>
      </c>
      <c r="B12" s="3">
        <v>46386</v>
      </c>
      <c r="C12" s="1">
        <v>100</v>
      </c>
      <c r="D12" s="4">
        <v>0.06</v>
      </c>
      <c r="E12" s="5">
        <f t="shared" si="0"/>
        <v>0.5</v>
      </c>
      <c r="F12" s="1">
        <v>0</v>
      </c>
      <c r="G12" s="1">
        <f t="shared" si="1"/>
        <v>0.5</v>
      </c>
    </row>
    <row r="13" spans="1:7" x14ac:dyDescent="0.2">
      <c r="A13" s="1" t="s">
        <v>60</v>
      </c>
      <c r="B13" s="3">
        <v>46416</v>
      </c>
      <c r="C13" s="1">
        <v>100</v>
      </c>
      <c r="D13" s="4">
        <v>0.06</v>
      </c>
      <c r="E13" s="5">
        <f t="shared" si="0"/>
        <v>0.48333333333333334</v>
      </c>
      <c r="F13" s="1">
        <v>0</v>
      </c>
      <c r="G13" s="1">
        <f t="shared" si="1"/>
        <v>0.48333333333333334</v>
      </c>
    </row>
    <row r="14" spans="1:7" x14ac:dyDescent="0.2">
      <c r="A14" s="1" t="s">
        <v>60</v>
      </c>
      <c r="B14" s="3">
        <v>46444</v>
      </c>
      <c r="C14" s="1">
        <v>100</v>
      </c>
      <c r="D14" s="4">
        <v>0.06</v>
      </c>
      <c r="E14" s="5">
        <f t="shared" si="0"/>
        <v>0.45</v>
      </c>
      <c r="F14" s="1">
        <v>0</v>
      </c>
      <c r="G14" s="1">
        <f t="shared" si="1"/>
        <v>0.45</v>
      </c>
    </row>
    <row r="15" spans="1:7" x14ac:dyDescent="0.2">
      <c r="A15" s="1" t="s">
        <v>60</v>
      </c>
      <c r="B15" s="3">
        <v>46477</v>
      </c>
      <c r="C15" s="1">
        <v>100</v>
      </c>
      <c r="D15" s="4">
        <v>0.06</v>
      </c>
      <c r="E15" s="5">
        <f t="shared" si="0"/>
        <v>0.58333333333333337</v>
      </c>
      <c r="F15" s="1">
        <v>0</v>
      </c>
      <c r="G15" s="1">
        <f t="shared" si="1"/>
        <v>0.58333333333333337</v>
      </c>
    </row>
    <row r="16" spans="1:7" x14ac:dyDescent="0.2">
      <c r="A16" s="1" t="s">
        <v>60</v>
      </c>
      <c r="B16" s="3">
        <v>46507</v>
      </c>
      <c r="C16" s="1">
        <v>100</v>
      </c>
      <c r="D16" s="4">
        <v>0.06</v>
      </c>
      <c r="E16" s="5">
        <f t="shared" si="0"/>
        <v>0.5</v>
      </c>
      <c r="F16" s="1">
        <v>0</v>
      </c>
      <c r="G16" s="1">
        <f t="shared" si="1"/>
        <v>0.5</v>
      </c>
    </row>
    <row r="17" spans="1:7" x14ac:dyDescent="0.2">
      <c r="A17" s="1" t="s">
        <v>60</v>
      </c>
      <c r="B17" s="3">
        <v>46538</v>
      </c>
      <c r="C17" s="1">
        <v>100</v>
      </c>
      <c r="D17" s="4">
        <v>0.06</v>
      </c>
      <c r="E17" s="5">
        <f t="shared" si="0"/>
        <v>0.5</v>
      </c>
      <c r="F17" s="1">
        <v>0</v>
      </c>
      <c r="G17" s="1">
        <f t="shared" si="1"/>
        <v>0.5</v>
      </c>
    </row>
    <row r="18" spans="1:7" x14ac:dyDescent="0.2">
      <c r="A18" s="1" t="s">
        <v>60</v>
      </c>
      <c r="B18" s="3">
        <v>46568</v>
      </c>
      <c r="C18" s="1">
        <v>100</v>
      </c>
      <c r="D18" s="4">
        <v>0.06</v>
      </c>
      <c r="E18" s="5">
        <f t="shared" si="0"/>
        <v>0.5</v>
      </c>
      <c r="F18" s="1">
        <v>0</v>
      </c>
      <c r="G18" s="1">
        <f t="shared" si="1"/>
        <v>0.5</v>
      </c>
    </row>
    <row r="19" spans="1:7" x14ac:dyDescent="0.2">
      <c r="A19" s="1" t="s">
        <v>60</v>
      </c>
      <c r="B19" s="3">
        <v>46598</v>
      </c>
      <c r="C19" s="1">
        <v>100</v>
      </c>
      <c r="D19" s="4">
        <v>0.06</v>
      </c>
      <c r="E19" s="5">
        <f t="shared" si="0"/>
        <v>0.5</v>
      </c>
      <c r="F19" s="1">
        <v>0</v>
      </c>
      <c r="G19" s="1">
        <f t="shared" si="1"/>
        <v>0.5</v>
      </c>
    </row>
    <row r="20" spans="1:7" x14ac:dyDescent="0.2">
      <c r="A20" s="1" t="s">
        <v>60</v>
      </c>
      <c r="B20" s="3">
        <v>46630</v>
      </c>
      <c r="C20" s="1">
        <v>100</v>
      </c>
      <c r="D20" s="4">
        <v>0.06</v>
      </c>
      <c r="E20" s="5">
        <f t="shared" si="0"/>
        <v>0.5</v>
      </c>
      <c r="F20" s="1">
        <v>0</v>
      </c>
      <c r="G20" s="1">
        <f t="shared" si="1"/>
        <v>0.5</v>
      </c>
    </row>
    <row r="21" spans="1:7" x14ac:dyDescent="0.2">
      <c r="A21" s="1" t="s">
        <v>60</v>
      </c>
      <c r="B21" s="3">
        <v>46660</v>
      </c>
      <c r="C21" s="1">
        <v>100</v>
      </c>
      <c r="D21" s="4">
        <v>0.06</v>
      </c>
      <c r="E21" s="5">
        <f t="shared" si="0"/>
        <v>0.5</v>
      </c>
      <c r="F21" s="1">
        <v>0</v>
      </c>
      <c r="G21" s="1">
        <f t="shared" si="1"/>
        <v>0.5</v>
      </c>
    </row>
    <row r="22" spans="1:7" x14ac:dyDescent="0.2">
      <c r="A22" s="1" t="s">
        <v>60</v>
      </c>
      <c r="B22" s="3">
        <v>46689</v>
      </c>
      <c r="C22" s="1">
        <f>C21-F22</f>
        <v>0</v>
      </c>
      <c r="D22" s="4">
        <v>0.06</v>
      </c>
      <c r="E22" s="5">
        <f t="shared" si="0"/>
        <v>0.48333333333333334</v>
      </c>
      <c r="F22" s="1">
        <v>100</v>
      </c>
      <c r="G22" s="1">
        <f t="shared" si="1"/>
        <v>100.48333333333333</v>
      </c>
    </row>
    <row r="24" spans="1:7" x14ac:dyDescent="0.2">
      <c r="A24" s="2" t="s">
        <v>0</v>
      </c>
      <c r="B24" s="2" t="s">
        <v>10</v>
      </c>
      <c r="C24" s="2" t="s">
        <v>11</v>
      </c>
      <c r="D24" s="2" t="s">
        <v>14</v>
      </c>
      <c r="E24" s="2" t="s">
        <v>12</v>
      </c>
      <c r="F24" s="2" t="s">
        <v>13</v>
      </c>
      <c r="G24" s="2" t="s">
        <v>15</v>
      </c>
    </row>
    <row r="25" spans="1:7" x14ac:dyDescent="0.2">
      <c r="A25" s="1" t="s">
        <v>61</v>
      </c>
      <c r="B25" s="3">
        <v>46112</v>
      </c>
      <c r="C25" s="1">
        <v>100</v>
      </c>
      <c r="D25" s="1">
        <v>0</v>
      </c>
      <c r="E25" s="1">
        <v>0</v>
      </c>
      <c r="F25" s="1">
        <v>0</v>
      </c>
      <c r="G25" s="1">
        <f>F25+E25</f>
        <v>0</v>
      </c>
    </row>
    <row r="26" spans="1:7" x14ac:dyDescent="0.2">
      <c r="A26" s="1" t="s">
        <v>61</v>
      </c>
      <c r="B26" s="3">
        <v>46142</v>
      </c>
      <c r="C26" s="1">
        <v>100</v>
      </c>
      <c r="D26" s="4">
        <v>0.06</v>
      </c>
      <c r="E26" s="5">
        <f t="shared" ref="E26:E43" si="2">((D26*C25)/360)*DAYS360(B25,B26)</f>
        <v>0.5</v>
      </c>
      <c r="F26" s="1">
        <v>0</v>
      </c>
      <c r="G26" s="1">
        <f t="shared" ref="G26:G43" si="3">F26+E26</f>
        <v>0.5</v>
      </c>
    </row>
    <row r="27" spans="1:7" x14ac:dyDescent="0.2">
      <c r="A27" s="1" t="s">
        <v>61</v>
      </c>
      <c r="B27" s="3">
        <v>46171</v>
      </c>
      <c r="C27" s="1">
        <v>100</v>
      </c>
      <c r="D27" s="4">
        <v>0.06</v>
      </c>
      <c r="E27" s="5">
        <f t="shared" si="2"/>
        <v>0.48333333333333334</v>
      </c>
      <c r="F27" s="1">
        <v>0</v>
      </c>
      <c r="G27" s="1">
        <f t="shared" si="3"/>
        <v>0.48333333333333334</v>
      </c>
    </row>
    <row r="28" spans="1:7" x14ac:dyDescent="0.2">
      <c r="A28" s="1" t="s">
        <v>61</v>
      </c>
      <c r="B28" s="3">
        <v>46203</v>
      </c>
      <c r="C28" s="1">
        <v>100</v>
      </c>
      <c r="D28" s="4">
        <v>0.06</v>
      </c>
      <c r="E28" s="5">
        <f t="shared" si="2"/>
        <v>0.51666666666666661</v>
      </c>
      <c r="F28" s="1">
        <v>0</v>
      </c>
      <c r="G28" s="1">
        <f t="shared" si="3"/>
        <v>0.51666666666666661</v>
      </c>
    </row>
    <row r="29" spans="1:7" x14ac:dyDescent="0.2">
      <c r="A29" s="1" t="s">
        <v>61</v>
      </c>
      <c r="B29" s="3">
        <v>46234</v>
      </c>
      <c r="C29" s="1">
        <v>100</v>
      </c>
      <c r="D29" s="4">
        <v>0.06</v>
      </c>
      <c r="E29" s="5">
        <f t="shared" si="2"/>
        <v>0.5</v>
      </c>
      <c r="F29" s="1">
        <v>0</v>
      </c>
      <c r="G29" s="1">
        <f t="shared" si="3"/>
        <v>0.5</v>
      </c>
    </row>
    <row r="30" spans="1:7" x14ac:dyDescent="0.2">
      <c r="A30" s="1" t="s">
        <v>61</v>
      </c>
      <c r="B30" s="3">
        <v>46265</v>
      </c>
      <c r="C30" s="1">
        <v>100</v>
      </c>
      <c r="D30" s="4">
        <v>0.06</v>
      </c>
      <c r="E30" s="5">
        <f t="shared" si="2"/>
        <v>0.5</v>
      </c>
      <c r="F30" s="1">
        <v>0</v>
      </c>
      <c r="G30" s="1">
        <f t="shared" si="3"/>
        <v>0.5</v>
      </c>
    </row>
    <row r="31" spans="1:7" x14ac:dyDescent="0.2">
      <c r="A31" s="1" t="s">
        <v>61</v>
      </c>
      <c r="B31" s="3">
        <v>46295</v>
      </c>
      <c r="C31" s="1">
        <v>100</v>
      </c>
      <c r="D31" s="4">
        <v>0.06</v>
      </c>
      <c r="E31" s="5">
        <f t="shared" si="2"/>
        <v>0.5</v>
      </c>
      <c r="F31" s="1">
        <v>0</v>
      </c>
      <c r="G31" s="1">
        <f t="shared" si="3"/>
        <v>0.5</v>
      </c>
    </row>
    <row r="32" spans="1:7" x14ac:dyDescent="0.2">
      <c r="A32" s="1" t="s">
        <v>61</v>
      </c>
      <c r="B32" s="3">
        <v>46325</v>
      </c>
      <c r="C32" s="1">
        <v>100</v>
      </c>
      <c r="D32" s="4">
        <v>0.06</v>
      </c>
      <c r="E32" s="5">
        <f t="shared" si="2"/>
        <v>0.5</v>
      </c>
      <c r="F32" s="1">
        <v>0</v>
      </c>
      <c r="G32" s="1">
        <f t="shared" si="3"/>
        <v>0.5</v>
      </c>
    </row>
    <row r="33" spans="1:7" x14ac:dyDescent="0.2">
      <c r="A33" s="1" t="s">
        <v>61</v>
      </c>
      <c r="B33" s="3">
        <v>46356</v>
      </c>
      <c r="C33" s="1">
        <v>100</v>
      </c>
      <c r="D33" s="4">
        <v>0.06</v>
      </c>
      <c r="E33" s="5">
        <f t="shared" si="2"/>
        <v>0.5</v>
      </c>
      <c r="F33" s="1">
        <v>0</v>
      </c>
      <c r="G33" s="1">
        <f t="shared" si="3"/>
        <v>0.5</v>
      </c>
    </row>
    <row r="34" spans="1:7" x14ac:dyDescent="0.2">
      <c r="A34" s="1" t="s">
        <v>61</v>
      </c>
      <c r="B34" s="3">
        <v>46386</v>
      </c>
      <c r="C34" s="1">
        <v>100</v>
      </c>
      <c r="D34" s="4">
        <v>0.06</v>
      </c>
      <c r="E34" s="5">
        <f t="shared" si="2"/>
        <v>0.5</v>
      </c>
      <c r="F34" s="1">
        <v>0</v>
      </c>
      <c r="G34" s="1">
        <f t="shared" si="3"/>
        <v>0.5</v>
      </c>
    </row>
    <row r="35" spans="1:7" x14ac:dyDescent="0.2">
      <c r="A35" s="1" t="s">
        <v>61</v>
      </c>
      <c r="B35" s="3">
        <v>46416</v>
      </c>
      <c r="C35" s="1">
        <v>100</v>
      </c>
      <c r="D35" s="4">
        <v>0.06</v>
      </c>
      <c r="E35" s="5">
        <f t="shared" si="2"/>
        <v>0.48333333333333334</v>
      </c>
      <c r="F35" s="1">
        <v>0</v>
      </c>
      <c r="G35" s="1">
        <f t="shared" si="3"/>
        <v>0.48333333333333334</v>
      </c>
    </row>
    <row r="36" spans="1:7" x14ac:dyDescent="0.2">
      <c r="A36" s="1" t="s">
        <v>61</v>
      </c>
      <c r="B36" s="3">
        <v>46444</v>
      </c>
      <c r="C36" s="1">
        <v>100</v>
      </c>
      <c r="D36" s="4">
        <v>0.06</v>
      </c>
      <c r="E36" s="5">
        <f t="shared" si="2"/>
        <v>0.45</v>
      </c>
      <c r="F36" s="1">
        <v>0</v>
      </c>
      <c r="G36" s="1">
        <f t="shared" si="3"/>
        <v>0.45</v>
      </c>
    </row>
    <row r="37" spans="1:7" x14ac:dyDescent="0.2">
      <c r="A37" s="1" t="s">
        <v>61</v>
      </c>
      <c r="B37" s="3">
        <v>46477</v>
      </c>
      <c r="C37" s="1">
        <v>100</v>
      </c>
      <c r="D37" s="4">
        <v>0.06</v>
      </c>
      <c r="E37" s="5">
        <f t="shared" si="2"/>
        <v>0.58333333333333337</v>
      </c>
      <c r="F37" s="1">
        <v>0</v>
      </c>
      <c r="G37" s="1">
        <f t="shared" si="3"/>
        <v>0.58333333333333337</v>
      </c>
    </row>
    <row r="38" spans="1:7" x14ac:dyDescent="0.2">
      <c r="A38" s="1" t="s">
        <v>61</v>
      </c>
      <c r="B38" s="3">
        <v>46507</v>
      </c>
      <c r="C38" s="1">
        <v>100</v>
      </c>
      <c r="D38" s="4">
        <v>0.06</v>
      </c>
      <c r="E38" s="5">
        <f t="shared" si="2"/>
        <v>0.5</v>
      </c>
      <c r="F38" s="1">
        <v>0</v>
      </c>
      <c r="G38" s="1">
        <f t="shared" si="3"/>
        <v>0.5</v>
      </c>
    </row>
    <row r="39" spans="1:7" x14ac:dyDescent="0.2">
      <c r="A39" s="1" t="s">
        <v>61</v>
      </c>
      <c r="B39" s="3">
        <v>46538</v>
      </c>
      <c r="C39" s="1">
        <v>100</v>
      </c>
      <c r="D39" s="4">
        <v>0.06</v>
      </c>
      <c r="E39" s="5">
        <f t="shared" si="2"/>
        <v>0.5</v>
      </c>
      <c r="F39" s="1">
        <v>0</v>
      </c>
      <c r="G39" s="1">
        <f t="shared" si="3"/>
        <v>0.5</v>
      </c>
    </row>
    <row r="40" spans="1:7" x14ac:dyDescent="0.2">
      <c r="A40" s="1" t="s">
        <v>61</v>
      </c>
      <c r="B40" s="3">
        <v>46568</v>
      </c>
      <c r="C40" s="1">
        <v>100</v>
      </c>
      <c r="D40" s="4">
        <v>0.06</v>
      </c>
      <c r="E40" s="5">
        <f t="shared" si="2"/>
        <v>0.5</v>
      </c>
      <c r="F40" s="1">
        <v>0</v>
      </c>
      <c r="G40" s="1">
        <f t="shared" si="3"/>
        <v>0.5</v>
      </c>
    </row>
    <row r="41" spans="1:7" x14ac:dyDescent="0.2">
      <c r="A41" s="1" t="s">
        <v>61</v>
      </c>
      <c r="B41" s="3">
        <v>46598</v>
      </c>
      <c r="C41" s="1">
        <v>100</v>
      </c>
      <c r="D41" s="4">
        <v>0.06</v>
      </c>
      <c r="E41" s="5">
        <f t="shared" si="2"/>
        <v>0.5</v>
      </c>
      <c r="F41" s="1">
        <v>0</v>
      </c>
      <c r="G41" s="1">
        <f t="shared" si="3"/>
        <v>0.5</v>
      </c>
    </row>
    <row r="42" spans="1:7" x14ac:dyDescent="0.2">
      <c r="A42" s="1" t="s">
        <v>61</v>
      </c>
      <c r="B42" s="3">
        <v>46630</v>
      </c>
      <c r="C42" s="1">
        <v>100</v>
      </c>
      <c r="D42" s="4">
        <v>0.06</v>
      </c>
      <c r="E42" s="5">
        <f t="shared" si="2"/>
        <v>0.5</v>
      </c>
      <c r="F42" s="1">
        <v>0</v>
      </c>
      <c r="G42" s="1">
        <f t="shared" si="3"/>
        <v>0.5</v>
      </c>
    </row>
    <row r="43" spans="1:7" x14ac:dyDescent="0.2">
      <c r="A43" s="1" t="s">
        <v>61</v>
      </c>
      <c r="B43" s="3">
        <v>46660</v>
      </c>
      <c r="C43" s="1">
        <v>100</v>
      </c>
      <c r="D43" s="4">
        <v>0.06</v>
      </c>
      <c r="E43" s="5">
        <f t="shared" si="2"/>
        <v>0.5</v>
      </c>
      <c r="F43" s="1">
        <v>0</v>
      </c>
      <c r="G43" s="1">
        <f t="shared" si="3"/>
        <v>0.5</v>
      </c>
    </row>
    <row r="44" spans="1:7" x14ac:dyDescent="0.2">
      <c r="A44" s="1" t="s">
        <v>61</v>
      </c>
      <c r="B44" s="3">
        <v>46689</v>
      </c>
      <c r="C44" s="1">
        <v>100</v>
      </c>
      <c r="D44" s="4">
        <v>0.06</v>
      </c>
      <c r="E44" s="5">
        <f t="shared" ref="E44:E56" si="4">((D44*C43)/360)*DAYS360(B43,B44)</f>
        <v>0.48333333333333334</v>
      </c>
      <c r="F44" s="1">
        <v>0</v>
      </c>
      <c r="G44" s="1">
        <f t="shared" ref="G44:G56" si="5">F44+E44</f>
        <v>0.48333333333333334</v>
      </c>
    </row>
    <row r="45" spans="1:7" x14ac:dyDescent="0.2">
      <c r="A45" s="1" t="s">
        <v>61</v>
      </c>
      <c r="B45" s="3">
        <v>46721</v>
      </c>
      <c r="C45" s="1">
        <v>100</v>
      </c>
      <c r="D45" s="4">
        <v>0.06</v>
      </c>
      <c r="E45" s="5">
        <f t="shared" si="4"/>
        <v>0.51666666666666661</v>
      </c>
      <c r="F45" s="1">
        <v>0</v>
      </c>
      <c r="G45" s="1">
        <f t="shared" si="5"/>
        <v>0.51666666666666661</v>
      </c>
    </row>
    <row r="46" spans="1:7" x14ac:dyDescent="0.2">
      <c r="A46" s="1" t="s">
        <v>61</v>
      </c>
      <c r="B46" s="3">
        <v>46751</v>
      </c>
      <c r="C46" s="1">
        <v>100</v>
      </c>
      <c r="D46" s="4">
        <v>0.06</v>
      </c>
      <c r="E46" s="5">
        <f t="shared" si="4"/>
        <v>0.5</v>
      </c>
      <c r="F46" s="1">
        <v>0</v>
      </c>
      <c r="G46" s="1">
        <f t="shared" si="5"/>
        <v>0.5</v>
      </c>
    </row>
    <row r="47" spans="1:7" x14ac:dyDescent="0.2">
      <c r="A47" s="1" t="s">
        <v>61</v>
      </c>
      <c r="B47" s="3">
        <v>46783</v>
      </c>
      <c r="C47" s="1">
        <v>100</v>
      </c>
      <c r="D47" s="4">
        <v>0.06</v>
      </c>
      <c r="E47" s="5">
        <f t="shared" si="4"/>
        <v>0.5</v>
      </c>
      <c r="F47" s="1">
        <v>0</v>
      </c>
      <c r="G47" s="1">
        <f t="shared" si="5"/>
        <v>0.5</v>
      </c>
    </row>
    <row r="48" spans="1:7" x14ac:dyDescent="0.2">
      <c r="A48" s="1" t="s">
        <v>61</v>
      </c>
      <c r="B48" s="3">
        <v>46812</v>
      </c>
      <c r="C48" s="1">
        <v>100</v>
      </c>
      <c r="D48" s="4">
        <v>0.06</v>
      </c>
      <c r="E48" s="5">
        <f t="shared" si="4"/>
        <v>0.48333333333333334</v>
      </c>
      <c r="F48" s="1">
        <v>0</v>
      </c>
      <c r="G48" s="1">
        <f t="shared" si="5"/>
        <v>0.48333333333333334</v>
      </c>
    </row>
    <row r="49" spans="1:7" x14ac:dyDescent="0.2">
      <c r="A49" s="1" t="s">
        <v>61</v>
      </c>
      <c r="B49" s="3">
        <v>46843</v>
      </c>
      <c r="C49" s="1">
        <v>100</v>
      </c>
      <c r="D49" s="4">
        <v>0.06</v>
      </c>
      <c r="E49" s="5">
        <f t="shared" si="4"/>
        <v>0.5</v>
      </c>
      <c r="F49" s="1">
        <v>0</v>
      </c>
      <c r="G49" s="1">
        <f t="shared" si="5"/>
        <v>0.5</v>
      </c>
    </row>
    <row r="50" spans="1:7" x14ac:dyDescent="0.2">
      <c r="A50" s="1" t="s">
        <v>61</v>
      </c>
      <c r="B50" s="3">
        <v>46871</v>
      </c>
      <c r="C50" s="1">
        <v>100</v>
      </c>
      <c r="D50" s="4">
        <v>0.06</v>
      </c>
      <c r="E50" s="5">
        <f t="shared" si="4"/>
        <v>0.46666666666666667</v>
      </c>
      <c r="F50" s="1">
        <v>0</v>
      </c>
      <c r="G50" s="1">
        <f t="shared" si="5"/>
        <v>0.46666666666666667</v>
      </c>
    </row>
    <row r="51" spans="1:7" x14ac:dyDescent="0.2">
      <c r="A51" s="1" t="s">
        <v>61</v>
      </c>
      <c r="B51" s="3">
        <v>46904</v>
      </c>
      <c r="C51" s="1">
        <v>100</v>
      </c>
      <c r="D51" s="4">
        <v>0.06</v>
      </c>
      <c r="E51" s="5">
        <f t="shared" si="4"/>
        <v>0.55000000000000004</v>
      </c>
      <c r="F51" s="1">
        <v>0</v>
      </c>
      <c r="G51" s="1">
        <f t="shared" si="5"/>
        <v>0.55000000000000004</v>
      </c>
    </row>
    <row r="52" spans="1:7" x14ac:dyDescent="0.2">
      <c r="A52" s="1" t="s">
        <v>61</v>
      </c>
      <c r="B52" s="3">
        <v>46934</v>
      </c>
      <c r="C52" s="1">
        <v>100</v>
      </c>
      <c r="D52" s="4">
        <v>0.06</v>
      </c>
      <c r="E52" s="5">
        <f t="shared" si="4"/>
        <v>0.5</v>
      </c>
      <c r="F52" s="1">
        <v>0</v>
      </c>
      <c r="G52" s="1">
        <f t="shared" si="5"/>
        <v>0.5</v>
      </c>
    </row>
    <row r="53" spans="1:7" x14ac:dyDescent="0.2">
      <c r="A53" s="1" t="s">
        <v>61</v>
      </c>
      <c r="B53" s="3">
        <v>46965</v>
      </c>
      <c r="C53" s="1">
        <v>100</v>
      </c>
      <c r="D53" s="4">
        <v>0.06</v>
      </c>
      <c r="E53" s="5">
        <f t="shared" si="4"/>
        <v>0.5</v>
      </c>
      <c r="F53" s="1">
        <v>0</v>
      </c>
      <c r="G53" s="1">
        <f t="shared" si="5"/>
        <v>0.5</v>
      </c>
    </row>
    <row r="54" spans="1:7" x14ac:dyDescent="0.2">
      <c r="A54" s="1" t="s">
        <v>61</v>
      </c>
      <c r="B54" s="3">
        <v>46996</v>
      </c>
      <c r="C54" s="1">
        <v>100</v>
      </c>
      <c r="D54" s="4">
        <v>0.06</v>
      </c>
      <c r="E54" s="5">
        <f t="shared" si="4"/>
        <v>0.5</v>
      </c>
      <c r="F54" s="1">
        <v>0</v>
      </c>
      <c r="G54" s="1">
        <f t="shared" si="5"/>
        <v>0.5</v>
      </c>
    </row>
    <row r="55" spans="1:7" x14ac:dyDescent="0.2">
      <c r="A55" s="1" t="s">
        <v>61</v>
      </c>
      <c r="B55" s="3">
        <v>47025</v>
      </c>
      <c r="C55" s="1">
        <v>100</v>
      </c>
      <c r="D55" s="4">
        <v>0.06</v>
      </c>
      <c r="E55" s="5">
        <f t="shared" si="4"/>
        <v>0.48333333333333334</v>
      </c>
      <c r="F55" s="1">
        <v>0</v>
      </c>
      <c r="G55" s="1">
        <f t="shared" si="5"/>
        <v>0.48333333333333334</v>
      </c>
    </row>
    <row r="56" spans="1:7" x14ac:dyDescent="0.2">
      <c r="A56" s="1" t="s">
        <v>61</v>
      </c>
      <c r="B56" s="3">
        <v>47057</v>
      </c>
      <c r="C56" s="1">
        <f>C55-F56</f>
        <v>0</v>
      </c>
      <c r="D56" s="4">
        <v>0.06</v>
      </c>
      <c r="E56" s="5">
        <f t="shared" si="4"/>
        <v>0.53333333333333333</v>
      </c>
      <c r="F56" s="1">
        <v>100</v>
      </c>
      <c r="G56" s="1">
        <f t="shared" si="5"/>
        <v>100.53333333333333</v>
      </c>
    </row>
    <row r="58" spans="1:7" x14ac:dyDescent="0.2">
      <c r="A58" s="2" t="s">
        <v>0</v>
      </c>
      <c r="B58" s="2" t="s">
        <v>10</v>
      </c>
      <c r="C58" s="2" t="s">
        <v>11</v>
      </c>
      <c r="D58" s="2" t="s">
        <v>14</v>
      </c>
      <c r="E58" s="2" t="s">
        <v>12</v>
      </c>
      <c r="F58" s="2" t="s">
        <v>13</v>
      </c>
      <c r="G58" s="2" t="s">
        <v>15</v>
      </c>
    </row>
    <row r="59" spans="1:7" x14ac:dyDescent="0.2">
      <c r="A59" s="1" t="s">
        <v>62</v>
      </c>
      <c r="B59" s="3">
        <v>44078</v>
      </c>
      <c r="C59" s="1">
        <v>100</v>
      </c>
      <c r="D59" s="1">
        <v>0</v>
      </c>
      <c r="E59" s="1">
        <v>0</v>
      </c>
      <c r="F59" s="1">
        <v>0</v>
      </c>
      <c r="G59" s="1">
        <f>F59+E59</f>
        <v>0</v>
      </c>
    </row>
    <row r="60" spans="1:7" x14ac:dyDescent="0.2">
      <c r="A60" s="1" t="s">
        <v>62</v>
      </c>
      <c r="B60" s="3">
        <v>44386</v>
      </c>
      <c r="C60" s="1">
        <v>100</v>
      </c>
      <c r="D60" s="4">
        <v>0.01</v>
      </c>
      <c r="E60" s="5">
        <f t="shared" ref="E60" si="6">((D60*C59)/360)*DAYS360(B59,B60)</f>
        <v>0.84722222222222221</v>
      </c>
      <c r="F60" s="1">
        <v>0</v>
      </c>
      <c r="G60" s="1">
        <f t="shared" ref="G60" si="7">F60+E60</f>
        <v>0.84722222222222221</v>
      </c>
    </row>
    <row r="61" spans="1:7" x14ac:dyDescent="0.2">
      <c r="A61" s="1" t="s">
        <v>62</v>
      </c>
      <c r="B61" s="3">
        <v>44570</v>
      </c>
      <c r="C61" s="1">
        <v>100</v>
      </c>
      <c r="D61" s="4">
        <v>0.01</v>
      </c>
      <c r="E61" s="5">
        <f t="shared" ref="E61:E70" si="8">((D61*C60)/360)*DAYS360(B60,B61)</f>
        <v>0.5</v>
      </c>
      <c r="F61" s="1">
        <v>0</v>
      </c>
      <c r="G61" s="1">
        <f t="shared" ref="G61:G70" si="9">F61+E61</f>
        <v>0.5</v>
      </c>
    </row>
    <row r="62" spans="1:7" x14ac:dyDescent="0.2">
      <c r="A62" s="1" t="s">
        <v>62</v>
      </c>
      <c r="B62" s="3">
        <v>44751</v>
      </c>
      <c r="C62" s="1">
        <v>100</v>
      </c>
      <c r="D62" s="4">
        <v>0.01</v>
      </c>
      <c r="E62" s="5">
        <f t="shared" si="8"/>
        <v>0.5</v>
      </c>
      <c r="F62" s="1">
        <v>0</v>
      </c>
      <c r="G62" s="1">
        <f t="shared" si="9"/>
        <v>0.5</v>
      </c>
    </row>
    <row r="63" spans="1:7" x14ac:dyDescent="0.2">
      <c r="A63" s="1" t="s">
        <v>62</v>
      </c>
      <c r="B63" s="3">
        <v>44935</v>
      </c>
      <c r="C63" s="1">
        <v>100</v>
      </c>
      <c r="D63" s="4">
        <v>0.01</v>
      </c>
      <c r="E63" s="5">
        <f t="shared" si="8"/>
        <v>0.5</v>
      </c>
      <c r="F63" s="1">
        <v>0</v>
      </c>
      <c r="G63" s="1">
        <f t="shared" si="9"/>
        <v>0.5</v>
      </c>
    </row>
    <row r="64" spans="1:7" x14ac:dyDescent="0.2">
      <c r="A64" s="1" t="s">
        <v>62</v>
      </c>
      <c r="B64" s="3">
        <v>45116</v>
      </c>
      <c r="C64" s="1">
        <v>100</v>
      </c>
      <c r="D64" s="4">
        <v>0.01</v>
      </c>
      <c r="E64" s="5">
        <f t="shared" si="8"/>
        <v>0.5</v>
      </c>
      <c r="F64" s="1">
        <v>0</v>
      </c>
      <c r="G64" s="1">
        <f t="shared" si="9"/>
        <v>0.5</v>
      </c>
    </row>
    <row r="65" spans="1:7" x14ac:dyDescent="0.2">
      <c r="A65" s="1" t="s">
        <v>62</v>
      </c>
      <c r="B65" s="3">
        <v>45300</v>
      </c>
      <c r="C65" s="1">
        <v>100</v>
      </c>
      <c r="D65" s="4">
        <v>0.01</v>
      </c>
      <c r="E65" s="5">
        <f t="shared" si="8"/>
        <v>0.5</v>
      </c>
      <c r="F65" s="1">
        <v>0</v>
      </c>
      <c r="G65" s="1">
        <f t="shared" si="9"/>
        <v>0.5</v>
      </c>
    </row>
    <row r="66" spans="1:7" x14ac:dyDescent="0.2">
      <c r="A66" s="1" t="s">
        <v>62</v>
      </c>
      <c r="B66" s="3">
        <v>45482</v>
      </c>
      <c r="C66" s="1">
        <v>100</v>
      </c>
      <c r="D66" s="4">
        <v>0.01</v>
      </c>
      <c r="E66" s="5">
        <f t="shared" si="8"/>
        <v>0.5</v>
      </c>
      <c r="F66" s="1">
        <v>0</v>
      </c>
      <c r="G66" s="1">
        <f t="shared" si="9"/>
        <v>0.5</v>
      </c>
    </row>
    <row r="67" spans="1:7" x14ac:dyDescent="0.2">
      <c r="A67" s="1" t="s">
        <v>62</v>
      </c>
      <c r="B67" s="3">
        <v>45666</v>
      </c>
      <c r="C67" s="1">
        <f>C66-F67</f>
        <v>90</v>
      </c>
      <c r="D67" s="4">
        <v>0.01</v>
      </c>
      <c r="E67" s="5">
        <f t="shared" si="8"/>
        <v>0.5</v>
      </c>
      <c r="F67" s="1">
        <v>10</v>
      </c>
      <c r="G67" s="1">
        <f t="shared" si="9"/>
        <v>10.5</v>
      </c>
    </row>
    <row r="68" spans="1:7" x14ac:dyDescent="0.2">
      <c r="A68" s="1" t="s">
        <v>62</v>
      </c>
      <c r="B68" s="3">
        <v>45847</v>
      </c>
      <c r="C68" s="1">
        <f t="shared" ref="C68:C76" si="10">C67-F68</f>
        <v>80</v>
      </c>
      <c r="D68" s="4">
        <v>0.01</v>
      </c>
      <c r="E68" s="5">
        <f t="shared" si="8"/>
        <v>0.45</v>
      </c>
      <c r="F68" s="1">
        <v>10</v>
      </c>
      <c r="G68" s="1">
        <f t="shared" si="9"/>
        <v>10.45</v>
      </c>
    </row>
    <row r="69" spans="1:7" x14ac:dyDescent="0.2">
      <c r="A69" s="1" t="s">
        <v>62</v>
      </c>
      <c r="B69" s="3">
        <v>46031</v>
      </c>
      <c r="C69" s="1">
        <f t="shared" si="10"/>
        <v>70</v>
      </c>
      <c r="D69" s="4">
        <v>0.01</v>
      </c>
      <c r="E69" s="5">
        <f t="shared" si="8"/>
        <v>0.4</v>
      </c>
      <c r="F69" s="1">
        <v>10</v>
      </c>
      <c r="G69" s="1">
        <f t="shared" si="9"/>
        <v>10.4</v>
      </c>
    </row>
    <row r="70" spans="1:7" x14ac:dyDescent="0.2">
      <c r="A70" s="1" t="s">
        <v>62</v>
      </c>
      <c r="B70" s="3">
        <v>46212</v>
      </c>
      <c r="C70" s="1">
        <f t="shared" si="10"/>
        <v>60</v>
      </c>
      <c r="D70" s="4">
        <v>0.01</v>
      </c>
      <c r="E70" s="5">
        <f t="shared" si="8"/>
        <v>0.35000000000000003</v>
      </c>
      <c r="F70" s="1">
        <v>10</v>
      </c>
      <c r="G70" s="1">
        <f t="shared" si="9"/>
        <v>10.35</v>
      </c>
    </row>
    <row r="71" spans="1:7" x14ac:dyDescent="0.2">
      <c r="A71" s="1" t="s">
        <v>62</v>
      </c>
      <c r="B71" s="3">
        <v>46396</v>
      </c>
      <c r="C71" s="1">
        <f t="shared" si="10"/>
        <v>50</v>
      </c>
      <c r="D71" s="4">
        <v>0.01</v>
      </c>
      <c r="E71" s="5">
        <f t="shared" ref="E71:E76" si="11">((D71*C70)/360)*DAYS360(B70,B71)</f>
        <v>0.3</v>
      </c>
      <c r="F71" s="1">
        <v>10</v>
      </c>
      <c r="G71" s="1">
        <f t="shared" ref="G71:G76" si="12">F71+E71</f>
        <v>10.3</v>
      </c>
    </row>
    <row r="72" spans="1:7" x14ac:dyDescent="0.2">
      <c r="A72" s="1" t="s">
        <v>62</v>
      </c>
      <c r="B72" s="3">
        <v>46577</v>
      </c>
      <c r="C72" s="1">
        <f t="shared" si="10"/>
        <v>40</v>
      </c>
      <c r="D72" s="4">
        <v>0.01</v>
      </c>
      <c r="E72" s="5">
        <f t="shared" si="11"/>
        <v>0.25</v>
      </c>
      <c r="F72" s="1">
        <v>10</v>
      </c>
      <c r="G72" s="1">
        <f t="shared" si="12"/>
        <v>10.25</v>
      </c>
    </row>
    <row r="73" spans="1:7" x14ac:dyDescent="0.2">
      <c r="A73" s="1" t="s">
        <v>62</v>
      </c>
      <c r="B73" s="3">
        <v>46761</v>
      </c>
      <c r="C73" s="1">
        <f t="shared" si="10"/>
        <v>30</v>
      </c>
      <c r="D73" s="4">
        <v>0.01</v>
      </c>
      <c r="E73" s="5">
        <f t="shared" si="11"/>
        <v>0.2</v>
      </c>
      <c r="F73" s="1">
        <v>10</v>
      </c>
      <c r="G73" s="1">
        <f t="shared" si="12"/>
        <v>10.199999999999999</v>
      </c>
    </row>
    <row r="74" spans="1:7" x14ac:dyDescent="0.2">
      <c r="A74" s="1" t="s">
        <v>62</v>
      </c>
      <c r="B74" s="3">
        <v>46943</v>
      </c>
      <c r="C74" s="1">
        <f t="shared" si="10"/>
        <v>20</v>
      </c>
      <c r="D74" s="4">
        <v>0.01</v>
      </c>
      <c r="E74" s="5">
        <f t="shared" si="11"/>
        <v>0.15</v>
      </c>
      <c r="F74" s="1">
        <v>10</v>
      </c>
      <c r="G74" s="1">
        <f t="shared" si="12"/>
        <v>10.15</v>
      </c>
    </row>
    <row r="75" spans="1:7" x14ac:dyDescent="0.2">
      <c r="A75" s="1" t="s">
        <v>62</v>
      </c>
      <c r="B75" s="3">
        <v>47127</v>
      </c>
      <c r="C75" s="1">
        <f t="shared" si="10"/>
        <v>10</v>
      </c>
      <c r="D75" s="4">
        <v>0.01</v>
      </c>
      <c r="E75" s="5">
        <f t="shared" si="11"/>
        <v>0.1</v>
      </c>
      <c r="F75" s="1">
        <v>10</v>
      </c>
      <c r="G75" s="1">
        <f t="shared" si="12"/>
        <v>10.1</v>
      </c>
    </row>
    <row r="76" spans="1:7" x14ac:dyDescent="0.2">
      <c r="A76" s="1" t="s">
        <v>62</v>
      </c>
      <c r="B76" s="3">
        <v>47308</v>
      </c>
      <c r="C76" s="1">
        <f t="shared" si="10"/>
        <v>0</v>
      </c>
      <c r="D76" s="4">
        <v>0.01</v>
      </c>
      <c r="E76" s="5">
        <f t="shared" si="11"/>
        <v>0.05</v>
      </c>
      <c r="F76" s="1">
        <v>10</v>
      </c>
      <c r="G76" s="1">
        <f t="shared" si="12"/>
        <v>10.050000000000001</v>
      </c>
    </row>
    <row r="78" spans="1:7" x14ac:dyDescent="0.2">
      <c r="A78" s="2" t="s">
        <v>0</v>
      </c>
      <c r="B78" s="2" t="s">
        <v>10</v>
      </c>
      <c r="C78" s="2" t="s">
        <v>11</v>
      </c>
      <c r="D78" s="2" t="s">
        <v>14</v>
      </c>
      <c r="E78" s="2" t="s">
        <v>12</v>
      </c>
      <c r="F78" s="2" t="s">
        <v>13</v>
      </c>
      <c r="G78" s="2" t="s">
        <v>15</v>
      </c>
    </row>
    <row r="79" spans="1:7" x14ac:dyDescent="0.2">
      <c r="A79" s="1" t="s">
        <v>65</v>
      </c>
      <c r="B79" s="3">
        <v>46003</v>
      </c>
      <c r="C79" s="1">
        <v>100</v>
      </c>
      <c r="D79" s="1">
        <v>0</v>
      </c>
      <c r="E79" s="1">
        <v>0</v>
      </c>
      <c r="F79" s="1">
        <v>0</v>
      </c>
      <c r="G79" s="1">
        <f>F79+E79</f>
        <v>0</v>
      </c>
    </row>
    <row r="80" spans="1:7" x14ac:dyDescent="0.2">
      <c r="A80" s="1" t="s">
        <v>65</v>
      </c>
      <c r="B80" s="3">
        <v>46172</v>
      </c>
      <c r="C80" s="1">
        <v>100</v>
      </c>
      <c r="D80" s="4">
        <v>6.5000000000000002E-2</v>
      </c>
      <c r="E80" s="5">
        <f t="shared" ref="E80" si="13">((D80*C79)/360)*DAYS360(B79,B80)</f>
        <v>3.0333333333333332</v>
      </c>
      <c r="F80" s="1">
        <v>0</v>
      </c>
      <c r="G80" s="1">
        <f t="shared" ref="G80" si="14">F80+E80</f>
        <v>3.0333333333333332</v>
      </c>
    </row>
    <row r="81" spans="1:7" x14ac:dyDescent="0.2">
      <c r="A81" s="1" t="s">
        <v>65</v>
      </c>
      <c r="B81" s="3">
        <v>46356</v>
      </c>
      <c r="C81" s="1">
        <v>100</v>
      </c>
      <c r="D81" s="4">
        <v>6.5000000000000002E-2</v>
      </c>
      <c r="E81" s="5">
        <f t="shared" ref="E81" si="15">((D81*C80)/360)*DAYS360(B80,B81)</f>
        <v>3.2499999999999996</v>
      </c>
      <c r="F81" s="1">
        <v>0</v>
      </c>
      <c r="G81" s="1">
        <f t="shared" ref="G81" si="16">F81+E81</f>
        <v>3.2499999999999996</v>
      </c>
    </row>
    <row r="82" spans="1:7" x14ac:dyDescent="0.2">
      <c r="A82" s="1" t="s">
        <v>65</v>
      </c>
      <c r="B82" s="3">
        <v>46537</v>
      </c>
      <c r="C82" s="1">
        <v>100</v>
      </c>
      <c r="D82" s="4">
        <v>6.5000000000000002E-2</v>
      </c>
      <c r="E82" s="5">
        <f t="shared" ref="E82:E87" si="17">((D82*C81)/360)*DAYS360(B81,B82)</f>
        <v>3.2499999999999996</v>
      </c>
      <c r="F82" s="1">
        <v>0</v>
      </c>
      <c r="G82" s="1">
        <f t="shared" ref="G82:G87" si="18">F82+E82</f>
        <v>3.2499999999999996</v>
      </c>
    </row>
    <row r="83" spans="1:7" x14ac:dyDescent="0.2">
      <c r="A83" s="1" t="s">
        <v>65</v>
      </c>
      <c r="B83" s="3">
        <v>46721</v>
      </c>
      <c r="C83" s="1">
        <v>100</v>
      </c>
      <c r="D83" s="4">
        <v>6.5000000000000002E-2</v>
      </c>
      <c r="E83" s="5">
        <f t="shared" si="17"/>
        <v>3.2499999999999996</v>
      </c>
      <c r="F83" s="1">
        <v>0</v>
      </c>
      <c r="G83" s="1">
        <f t="shared" si="18"/>
        <v>3.2499999999999996</v>
      </c>
    </row>
    <row r="84" spans="1:7" x14ac:dyDescent="0.2">
      <c r="A84" s="1" t="s">
        <v>65</v>
      </c>
      <c r="B84" s="3">
        <v>46903</v>
      </c>
      <c r="C84" s="1">
        <v>100</v>
      </c>
      <c r="D84" s="4">
        <v>6.5000000000000002E-2</v>
      </c>
      <c r="E84" s="5">
        <f t="shared" si="17"/>
        <v>3.2499999999999996</v>
      </c>
      <c r="F84" s="1">
        <v>0</v>
      </c>
      <c r="G84" s="1">
        <f t="shared" si="18"/>
        <v>3.2499999999999996</v>
      </c>
    </row>
    <row r="85" spans="1:7" x14ac:dyDescent="0.2">
      <c r="A85" s="1" t="s">
        <v>65</v>
      </c>
      <c r="B85" s="3">
        <v>47087</v>
      </c>
      <c r="C85" s="1">
        <v>100</v>
      </c>
      <c r="D85" s="4">
        <v>6.5000000000000002E-2</v>
      </c>
      <c r="E85" s="5">
        <f t="shared" si="17"/>
        <v>3.2499999999999996</v>
      </c>
      <c r="F85" s="1">
        <v>0</v>
      </c>
      <c r="G85" s="1">
        <f t="shared" si="18"/>
        <v>3.2499999999999996</v>
      </c>
    </row>
    <row r="86" spans="1:7" x14ac:dyDescent="0.2">
      <c r="A86" s="1" t="s">
        <v>65</v>
      </c>
      <c r="B86" s="3">
        <v>47268</v>
      </c>
      <c r="C86" s="1">
        <v>100</v>
      </c>
      <c r="D86" s="4">
        <v>6.5000000000000002E-2</v>
      </c>
      <c r="E86" s="5">
        <f t="shared" si="17"/>
        <v>3.2499999999999996</v>
      </c>
      <c r="F86" s="1">
        <v>0</v>
      </c>
      <c r="G86" s="1">
        <f t="shared" si="18"/>
        <v>3.2499999999999996</v>
      </c>
    </row>
    <row r="87" spans="1:7" x14ac:dyDescent="0.2">
      <c r="A87" s="1" t="s">
        <v>65</v>
      </c>
      <c r="B87" s="3">
        <v>47452</v>
      </c>
      <c r="C87" s="1">
        <f>C86-F87</f>
        <v>0</v>
      </c>
      <c r="D87" s="4">
        <v>6.5000000000000002E-2</v>
      </c>
      <c r="E87" s="5">
        <f t="shared" si="17"/>
        <v>3.2499999999999996</v>
      </c>
      <c r="F87" s="1">
        <v>100</v>
      </c>
      <c r="G87" s="1">
        <f t="shared" si="18"/>
        <v>103.25</v>
      </c>
    </row>
    <row r="89" spans="1:7" x14ac:dyDescent="0.2">
      <c r="A89" s="2" t="s">
        <v>0</v>
      </c>
      <c r="B89" s="2" t="s">
        <v>10</v>
      </c>
      <c r="C89" s="2" t="s">
        <v>11</v>
      </c>
      <c r="D89" s="2" t="s">
        <v>14</v>
      </c>
      <c r="E89" s="2" t="s">
        <v>12</v>
      </c>
      <c r="F89" s="2" t="s">
        <v>13</v>
      </c>
      <c r="G89" s="2" t="s">
        <v>15</v>
      </c>
    </row>
    <row r="90" spans="1:7" x14ac:dyDescent="0.2">
      <c r="A90" s="1" t="s">
        <v>63</v>
      </c>
      <c r="B90" s="3">
        <v>44078</v>
      </c>
      <c r="C90" s="1">
        <v>100</v>
      </c>
      <c r="D90" s="1">
        <v>0</v>
      </c>
      <c r="E90" s="1">
        <v>0</v>
      </c>
      <c r="F90" s="1">
        <v>0</v>
      </c>
      <c r="G90" s="1">
        <f>F90+E90</f>
        <v>0</v>
      </c>
    </row>
    <row r="91" spans="1:7" x14ac:dyDescent="0.2">
      <c r="A91" s="1" t="s">
        <v>63</v>
      </c>
      <c r="B91" s="3">
        <v>44386</v>
      </c>
      <c r="C91" s="1">
        <v>100</v>
      </c>
      <c r="D91" s="4">
        <v>1.25E-3</v>
      </c>
      <c r="E91" s="5">
        <f t="shared" ref="E91" si="19">((D91*C90)/360)*DAYS360(B90,B91)</f>
        <v>0.10590277777777778</v>
      </c>
      <c r="F91" s="1">
        <v>0</v>
      </c>
      <c r="G91" s="1">
        <f t="shared" ref="G91" si="20">F91+E91</f>
        <v>0.10590277777777778</v>
      </c>
    </row>
    <row r="92" spans="1:7" x14ac:dyDescent="0.2">
      <c r="A92" s="1" t="s">
        <v>63</v>
      </c>
      <c r="B92" s="3">
        <v>44570</v>
      </c>
      <c r="C92" s="1">
        <v>100</v>
      </c>
      <c r="D92" s="4">
        <v>5.0000000000000001E-3</v>
      </c>
      <c r="E92" s="5">
        <f t="shared" ref="E92:E103" si="21">((D92*C91)/360)*DAYS360(B91,B92)</f>
        <v>0.25</v>
      </c>
      <c r="F92" s="1">
        <v>0</v>
      </c>
      <c r="G92" s="1">
        <f t="shared" ref="G92:G103" si="22">F92+E92</f>
        <v>0.25</v>
      </c>
    </row>
    <row r="93" spans="1:7" x14ac:dyDescent="0.2">
      <c r="A93" s="1" t="s">
        <v>63</v>
      </c>
      <c r="B93" s="3">
        <v>44751</v>
      </c>
      <c r="C93" s="1">
        <v>100</v>
      </c>
      <c r="D93" s="4">
        <v>5.0000000000000001E-3</v>
      </c>
      <c r="E93" s="5">
        <f t="shared" si="21"/>
        <v>0.25</v>
      </c>
      <c r="F93" s="1">
        <v>0</v>
      </c>
      <c r="G93" s="1">
        <f t="shared" si="22"/>
        <v>0.25</v>
      </c>
    </row>
    <row r="94" spans="1:7" x14ac:dyDescent="0.2">
      <c r="A94" s="1" t="s">
        <v>63</v>
      </c>
      <c r="B94" s="3">
        <v>44935</v>
      </c>
      <c r="C94" s="1">
        <v>100</v>
      </c>
      <c r="D94" s="4">
        <v>5.0000000000000001E-3</v>
      </c>
      <c r="E94" s="5">
        <f t="shared" si="21"/>
        <v>0.25</v>
      </c>
      <c r="F94" s="1">
        <v>0</v>
      </c>
      <c r="G94" s="1">
        <f t="shared" si="22"/>
        <v>0.25</v>
      </c>
    </row>
    <row r="95" spans="1:7" x14ac:dyDescent="0.2">
      <c r="A95" s="1" t="s">
        <v>63</v>
      </c>
      <c r="B95" s="3">
        <v>45116</v>
      </c>
      <c r="C95" s="1">
        <v>100</v>
      </c>
      <c r="D95" s="4">
        <v>5.0000000000000001E-3</v>
      </c>
      <c r="E95" s="5">
        <f t="shared" si="21"/>
        <v>0.25</v>
      </c>
      <c r="F95" s="1">
        <v>0</v>
      </c>
      <c r="G95" s="1">
        <f t="shared" si="22"/>
        <v>0.25</v>
      </c>
    </row>
    <row r="96" spans="1:7" x14ac:dyDescent="0.2">
      <c r="A96" s="1" t="s">
        <v>63</v>
      </c>
      <c r="B96" s="3">
        <v>45300</v>
      </c>
      <c r="C96" s="1">
        <v>100</v>
      </c>
      <c r="D96" s="4">
        <v>7.4999999999999997E-3</v>
      </c>
      <c r="E96" s="5">
        <f t="shared" si="21"/>
        <v>0.375</v>
      </c>
      <c r="F96" s="1">
        <v>0</v>
      </c>
      <c r="G96" s="1">
        <f t="shared" si="22"/>
        <v>0.375</v>
      </c>
    </row>
    <row r="97" spans="1:7" x14ac:dyDescent="0.2">
      <c r="A97" s="1" t="s">
        <v>63</v>
      </c>
      <c r="B97" s="3">
        <v>45482</v>
      </c>
      <c r="C97" s="1">
        <f>C96-F97</f>
        <v>96</v>
      </c>
      <c r="D97" s="4">
        <v>7.4999999999999997E-3</v>
      </c>
      <c r="E97" s="5">
        <f t="shared" si="21"/>
        <v>0.375</v>
      </c>
      <c r="F97" s="1">
        <v>4</v>
      </c>
      <c r="G97" s="1">
        <f t="shared" si="22"/>
        <v>4.375</v>
      </c>
    </row>
    <row r="98" spans="1:7" x14ac:dyDescent="0.2">
      <c r="A98" s="1" t="s">
        <v>63</v>
      </c>
      <c r="B98" s="3">
        <v>45666</v>
      </c>
      <c r="C98" s="1">
        <f t="shared" ref="C98:C109" si="23">C97-F98</f>
        <v>88</v>
      </c>
      <c r="D98" s="4">
        <v>7.4999999999999997E-3</v>
      </c>
      <c r="E98" s="5">
        <f t="shared" si="21"/>
        <v>0.36</v>
      </c>
      <c r="F98" s="1">
        <v>8</v>
      </c>
      <c r="G98" s="1">
        <f t="shared" si="22"/>
        <v>8.36</v>
      </c>
    </row>
    <row r="99" spans="1:7" x14ac:dyDescent="0.2">
      <c r="A99" s="1" t="s">
        <v>63</v>
      </c>
      <c r="B99" s="3">
        <v>45847</v>
      </c>
      <c r="C99" s="1">
        <f t="shared" si="23"/>
        <v>80</v>
      </c>
      <c r="D99" s="4">
        <v>7.4999999999999997E-3</v>
      </c>
      <c r="E99" s="5">
        <f t="shared" si="21"/>
        <v>0.32999999999999996</v>
      </c>
      <c r="F99" s="1">
        <v>8</v>
      </c>
      <c r="G99" s="1">
        <f t="shared" si="22"/>
        <v>8.33</v>
      </c>
    </row>
    <row r="100" spans="1:7" x14ac:dyDescent="0.2">
      <c r="A100" s="1" t="s">
        <v>63</v>
      </c>
      <c r="B100" s="3">
        <v>46031</v>
      </c>
      <c r="C100" s="1">
        <f t="shared" si="23"/>
        <v>72</v>
      </c>
      <c r="D100" s="4">
        <v>7.4999999999999997E-3</v>
      </c>
      <c r="E100" s="5">
        <f t="shared" si="21"/>
        <v>0.3</v>
      </c>
      <c r="F100" s="1">
        <v>8</v>
      </c>
      <c r="G100" s="1">
        <f t="shared" si="22"/>
        <v>8.3000000000000007</v>
      </c>
    </row>
    <row r="101" spans="1:7" x14ac:dyDescent="0.2">
      <c r="A101" s="1" t="s">
        <v>63</v>
      </c>
      <c r="B101" s="3">
        <v>46212</v>
      </c>
      <c r="C101" s="1">
        <f t="shared" si="23"/>
        <v>64</v>
      </c>
      <c r="D101" s="4">
        <v>7.4999999999999997E-3</v>
      </c>
      <c r="E101" s="5">
        <f t="shared" si="21"/>
        <v>0.27</v>
      </c>
      <c r="F101" s="1">
        <v>8</v>
      </c>
      <c r="G101" s="1">
        <f t="shared" si="22"/>
        <v>8.27</v>
      </c>
    </row>
    <row r="102" spans="1:7" x14ac:dyDescent="0.2">
      <c r="A102" s="1" t="s">
        <v>63</v>
      </c>
      <c r="B102" s="3">
        <v>46396</v>
      </c>
      <c r="C102" s="1">
        <f t="shared" si="23"/>
        <v>56</v>
      </c>
      <c r="D102" s="4">
        <v>7.4999999999999997E-3</v>
      </c>
      <c r="E102" s="5">
        <f t="shared" si="21"/>
        <v>0.24</v>
      </c>
      <c r="F102" s="1">
        <v>8</v>
      </c>
      <c r="G102" s="1">
        <f t="shared" si="22"/>
        <v>8.24</v>
      </c>
    </row>
    <row r="103" spans="1:7" x14ac:dyDescent="0.2">
      <c r="A103" s="1" t="s">
        <v>63</v>
      </c>
      <c r="B103" s="3">
        <v>46577</v>
      </c>
      <c r="C103" s="1">
        <f t="shared" si="23"/>
        <v>48</v>
      </c>
      <c r="D103" s="4">
        <v>7.4999999999999997E-3</v>
      </c>
      <c r="E103" s="5">
        <f t="shared" si="21"/>
        <v>0.20999999999999996</v>
      </c>
      <c r="F103" s="1">
        <v>8</v>
      </c>
      <c r="G103" s="1">
        <f t="shared" si="22"/>
        <v>8.2100000000000009</v>
      </c>
    </row>
    <row r="104" spans="1:7" x14ac:dyDescent="0.2">
      <c r="A104" s="1" t="s">
        <v>63</v>
      </c>
      <c r="B104" s="3">
        <v>46761</v>
      </c>
      <c r="C104" s="1">
        <f t="shared" si="23"/>
        <v>40</v>
      </c>
      <c r="D104" s="4">
        <v>1.7500000000000002E-2</v>
      </c>
      <c r="E104" s="5">
        <f t="shared" ref="E104:E109" si="24">((D104*C103)/360)*DAYS360(B103,B104)</f>
        <v>0.42000000000000004</v>
      </c>
      <c r="F104" s="1">
        <v>8</v>
      </c>
      <c r="G104" s="1">
        <f t="shared" ref="G104:G109" si="25">F104+E104</f>
        <v>8.42</v>
      </c>
    </row>
    <row r="105" spans="1:7" x14ac:dyDescent="0.2">
      <c r="A105" s="1" t="s">
        <v>63</v>
      </c>
      <c r="B105" s="3">
        <v>46943</v>
      </c>
      <c r="C105" s="1">
        <f t="shared" si="23"/>
        <v>32</v>
      </c>
      <c r="D105" s="4">
        <v>1.7500000000000002E-2</v>
      </c>
      <c r="E105" s="5">
        <f t="shared" si="24"/>
        <v>0.35000000000000003</v>
      </c>
      <c r="F105" s="1">
        <v>8</v>
      </c>
      <c r="G105" s="1">
        <f t="shared" si="25"/>
        <v>8.35</v>
      </c>
    </row>
    <row r="106" spans="1:7" x14ac:dyDescent="0.2">
      <c r="A106" s="1" t="s">
        <v>63</v>
      </c>
      <c r="B106" s="3">
        <v>47127</v>
      </c>
      <c r="C106" s="1">
        <f t="shared" si="23"/>
        <v>24</v>
      </c>
      <c r="D106" s="4">
        <v>1.7500000000000002E-2</v>
      </c>
      <c r="E106" s="5">
        <f t="shared" si="24"/>
        <v>0.28000000000000003</v>
      </c>
      <c r="F106" s="1">
        <v>8</v>
      </c>
      <c r="G106" s="1">
        <f t="shared" si="25"/>
        <v>8.2799999999999994</v>
      </c>
    </row>
    <row r="107" spans="1:7" x14ac:dyDescent="0.2">
      <c r="A107" s="1" t="s">
        <v>63</v>
      </c>
      <c r="B107" s="3">
        <v>47308</v>
      </c>
      <c r="C107" s="1">
        <f t="shared" si="23"/>
        <v>16</v>
      </c>
      <c r="D107" s="4">
        <v>1.7500000000000002E-2</v>
      </c>
      <c r="E107" s="5">
        <f t="shared" si="24"/>
        <v>0.21000000000000002</v>
      </c>
      <c r="F107" s="1">
        <v>8</v>
      </c>
      <c r="G107" s="1">
        <f t="shared" si="25"/>
        <v>8.2100000000000009</v>
      </c>
    </row>
    <row r="108" spans="1:7" x14ac:dyDescent="0.2">
      <c r="A108" s="1" t="s">
        <v>63</v>
      </c>
      <c r="B108" s="3">
        <v>47492</v>
      </c>
      <c r="C108" s="1">
        <f t="shared" si="23"/>
        <v>8</v>
      </c>
      <c r="D108" s="4">
        <v>1.7500000000000002E-2</v>
      </c>
      <c r="E108" s="5">
        <f t="shared" si="24"/>
        <v>0.14000000000000001</v>
      </c>
      <c r="F108" s="1">
        <v>8</v>
      </c>
      <c r="G108" s="1">
        <f t="shared" si="25"/>
        <v>8.14</v>
      </c>
    </row>
    <row r="109" spans="1:7" x14ac:dyDescent="0.2">
      <c r="A109" s="1" t="s">
        <v>63</v>
      </c>
      <c r="B109" s="3">
        <v>47673</v>
      </c>
      <c r="C109" s="1">
        <f t="shared" si="23"/>
        <v>0</v>
      </c>
      <c r="D109" s="4">
        <v>1.7500000000000002E-2</v>
      </c>
      <c r="E109" s="5">
        <f t="shared" si="24"/>
        <v>7.0000000000000007E-2</v>
      </c>
      <c r="F109" s="1">
        <v>8</v>
      </c>
      <c r="G109" s="1">
        <f t="shared" si="25"/>
        <v>8.07</v>
      </c>
    </row>
    <row r="111" spans="1:7" x14ac:dyDescent="0.2">
      <c r="A111" s="2" t="s">
        <v>0</v>
      </c>
      <c r="B111" s="2" t="s">
        <v>10</v>
      </c>
      <c r="C111" s="2" t="s">
        <v>11</v>
      </c>
      <c r="D111" s="2" t="s">
        <v>14</v>
      </c>
      <c r="E111" s="2" t="s">
        <v>12</v>
      </c>
      <c r="F111" s="2" t="s">
        <v>13</v>
      </c>
      <c r="G111" s="2" t="s">
        <v>15</v>
      </c>
    </row>
    <row r="112" spans="1:7" x14ac:dyDescent="0.2">
      <c r="A112" s="1" t="s">
        <v>64</v>
      </c>
      <c r="B112" s="3">
        <v>44078</v>
      </c>
      <c r="C112" s="1">
        <v>100</v>
      </c>
      <c r="D112" s="1">
        <v>0</v>
      </c>
      <c r="E112" s="1">
        <v>0</v>
      </c>
      <c r="F112" s="1">
        <v>0</v>
      </c>
      <c r="G112" s="1">
        <f>F112+E112</f>
        <v>0</v>
      </c>
    </row>
    <row r="113" spans="1:7" x14ac:dyDescent="0.2">
      <c r="A113" s="1" t="s">
        <v>64</v>
      </c>
      <c r="B113" s="3">
        <v>44386</v>
      </c>
      <c r="C113" s="1">
        <v>100</v>
      </c>
      <c r="D113" s="4">
        <v>1.25E-3</v>
      </c>
      <c r="E113" s="5">
        <f t="shared" ref="E113:E117" si="26">((D113*C112)/360)*DAYS360(B112,B113)</f>
        <v>0.10590277777777778</v>
      </c>
      <c r="F113" s="1">
        <v>0</v>
      </c>
      <c r="G113" s="1">
        <f t="shared" ref="G113:G117" si="27">F113+E113</f>
        <v>0.10590277777777778</v>
      </c>
    </row>
    <row r="114" spans="1:7" x14ac:dyDescent="0.2">
      <c r="A114" s="1" t="s">
        <v>64</v>
      </c>
      <c r="B114" s="3">
        <v>44570</v>
      </c>
      <c r="C114" s="1">
        <v>100</v>
      </c>
      <c r="D114" s="4">
        <v>1.125E-2</v>
      </c>
      <c r="E114" s="5">
        <f t="shared" si="26"/>
        <v>0.5625</v>
      </c>
      <c r="F114" s="1">
        <v>0</v>
      </c>
      <c r="G114" s="1">
        <f t="shared" si="27"/>
        <v>0.5625</v>
      </c>
    </row>
    <row r="115" spans="1:7" x14ac:dyDescent="0.2">
      <c r="A115" s="1" t="s">
        <v>64</v>
      </c>
      <c r="B115" s="3">
        <v>44751</v>
      </c>
      <c r="C115" s="1">
        <v>100</v>
      </c>
      <c r="D115" s="4">
        <v>1.125E-2</v>
      </c>
      <c r="E115" s="5">
        <f t="shared" si="26"/>
        <v>0.5625</v>
      </c>
      <c r="F115" s="1">
        <v>0</v>
      </c>
      <c r="G115" s="1">
        <f t="shared" si="27"/>
        <v>0.5625</v>
      </c>
    </row>
    <row r="116" spans="1:7" x14ac:dyDescent="0.2">
      <c r="A116" s="1" t="s">
        <v>64</v>
      </c>
      <c r="B116" s="3">
        <v>44935</v>
      </c>
      <c r="C116" s="1">
        <v>100</v>
      </c>
      <c r="D116" s="4">
        <v>1.4999999999999999E-2</v>
      </c>
      <c r="E116" s="5">
        <f t="shared" si="26"/>
        <v>0.75</v>
      </c>
      <c r="F116" s="1">
        <v>0</v>
      </c>
      <c r="G116" s="1">
        <f t="shared" si="27"/>
        <v>0.75</v>
      </c>
    </row>
    <row r="117" spans="1:7" x14ac:dyDescent="0.2">
      <c r="A117" s="1" t="s">
        <v>64</v>
      </c>
      <c r="B117" s="3">
        <v>45116</v>
      </c>
      <c r="C117" s="1">
        <v>100</v>
      </c>
      <c r="D117" s="4">
        <v>1.4999999999999999E-2</v>
      </c>
      <c r="E117" s="5">
        <f t="shared" si="26"/>
        <v>0.75</v>
      </c>
      <c r="F117" s="1">
        <v>0</v>
      </c>
      <c r="G117" s="1">
        <f t="shared" si="27"/>
        <v>0.75</v>
      </c>
    </row>
    <row r="118" spans="1:7" x14ac:dyDescent="0.2">
      <c r="A118" s="1" t="s">
        <v>64</v>
      </c>
      <c r="B118" s="3">
        <v>45300</v>
      </c>
      <c r="C118" s="1">
        <v>100</v>
      </c>
      <c r="D118" s="4">
        <v>3.6249999999999998E-2</v>
      </c>
      <c r="E118" s="5">
        <f t="shared" ref="E118:E128" si="28">((D118*C117)/360)*DAYS360(B117,B118)</f>
        <v>1.8124999999999998</v>
      </c>
      <c r="F118" s="1">
        <v>0</v>
      </c>
      <c r="G118" s="1">
        <f t="shared" ref="G118:G128" si="29">F118+E118</f>
        <v>1.8124999999999998</v>
      </c>
    </row>
    <row r="119" spans="1:7" x14ac:dyDescent="0.2">
      <c r="A119" s="1" t="s">
        <v>64</v>
      </c>
      <c r="B119" s="3">
        <v>45482</v>
      </c>
      <c r="C119" s="1">
        <v>100</v>
      </c>
      <c r="D119" s="4">
        <v>3.6249999999999998E-2</v>
      </c>
      <c r="E119" s="5">
        <f t="shared" si="28"/>
        <v>1.8124999999999998</v>
      </c>
      <c r="F119" s="1">
        <v>0</v>
      </c>
      <c r="G119" s="1">
        <f t="shared" si="29"/>
        <v>1.8124999999999998</v>
      </c>
    </row>
    <row r="120" spans="1:7" x14ac:dyDescent="0.2">
      <c r="A120" s="1" t="s">
        <v>64</v>
      </c>
      <c r="B120" s="3">
        <v>45666</v>
      </c>
      <c r="C120" s="1">
        <v>100</v>
      </c>
      <c r="D120" s="4">
        <v>4.1250000000000002E-2</v>
      </c>
      <c r="E120" s="5">
        <f t="shared" si="28"/>
        <v>2.0625</v>
      </c>
      <c r="F120" s="1">
        <v>0</v>
      </c>
      <c r="G120" s="1">
        <f t="shared" si="29"/>
        <v>2.0625</v>
      </c>
    </row>
    <row r="121" spans="1:7" x14ac:dyDescent="0.2">
      <c r="A121" s="1" t="s">
        <v>64</v>
      </c>
      <c r="B121" s="3">
        <v>45847</v>
      </c>
      <c r="C121" s="1">
        <v>100</v>
      </c>
      <c r="D121" s="4">
        <v>4.1250000000000002E-2</v>
      </c>
      <c r="E121" s="5">
        <f t="shared" si="28"/>
        <v>2.0625</v>
      </c>
      <c r="F121" s="1">
        <v>0</v>
      </c>
      <c r="G121" s="1">
        <f t="shared" si="29"/>
        <v>2.0625</v>
      </c>
    </row>
    <row r="122" spans="1:7" x14ac:dyDescent="0.2">
      <c r="A122" s="1" t="s">
        <v>64</v>
      </c>
      <c r="B122" s="3">
        <v>46031</v>
      </c>
      <c r="C122" s="1">
        <v>100</v>
      </c>
      <c r="D122" s="4">
        <v>4.1250000000000002E-2</v>
      </c>
      <c r="E122" s="5">
        <f t="shared" si="28"/>
        <v>2.0625</v>
      </c>
      <c r="F122" s="1">
        <v>0</v>
      </c>
      <c r="G122" s="1">
        <f t="shared" si="29"/>
        <v>2.0625</v>
      </c>
    </row>
    <row r="123" spans="1:7" x14ac:dyDescent="0.2">
      <c r="A123" s="1" t="s">
        <v>64</v>
      </c>
      <c r="B123" s="3">
        <v>46212</v>
      </c>
      <c r="C123" s="1">
        <v>100</v>
      </c>
      <c r="D123" s="4">
        <v>4.1250000000000002E-2</v>
      </c>
      <c r="E123" s="5">
        <f t="shared" si="28"/>
        <v>2.0625</v>
      </c>
      <c r="F123" s="1">
        <v>0</v>
      </c>
      <c r="G123" s="1">
        <f t="shared" si="29"/>
        <v>2.0625</v>
      </c>
    </row>
    <row r="124" spans="1:7" x14ac:dyDescent="0.2">
      <c r="A124" s="1" t="s">
        <v>64</v>
      </c>
      <c r="B124" s="3">
        <v>46396</v>
      </c>
      <c r="C124" s="1">
        <v>100</v>
      </c>
      <c r="D124" s="4">
        <v>4.1250000000000002E-2</v>
      </c>
      <c r="E124" s="5">
        <f t="shared" si="28"/>
        <v>2.0625</v>
      </c>
      <c r="F124" s="1">
        <v>0</v>
      </c>
      <c r="G124" s="1">
        <f t="shared" si="29"/>
        <v>2.0625</v>
      </c>
    </row>
    <row r="125" spans="1:7" x14ac:dyDescent="0.2">
      <c r="A125" s="1" t="s">
        <v>64</v>
      </c>
      <c r="B125" s="3">
        <v>46577</v>
      </c>
      <c r="C125" s="1">
        <v>100</v>
      </c>
      <c r="D125" s="4">
        <v>4.1250000000000002E-2</v>
      </c>
      <c r="E125" s="5">
        <f t="shared" si="28"/>
        <v>2.0625</v>
      </c>
      <c r="F125" s="1">
        <v>0</v>
      </c>
      <c r="G125" s="1">
        <f t="shared" si="29"/>
        <v>2.0625</v>
      </c>
    </row>
    <row r="126" spans="1:7" x14ac:dyDescent="0.2">
      <c r="A126" s="1" t="s">
        <v>64</v>
      </c>
      <c r="B126" s="3">
        <v>46761</v>
      </c>
      <c r="C126" s="1">
        <v>100</v>
      </c>
      <c r="D126" s="4">
        <v>4.7500000000000001E-2</v>
      </c>
      <c r="E126" s="5">
        <f t="shared" si="28"/>
        <v>2.375</v>
      </c>
      <c r="F126" s="1">
        <v>0</v>
      </c>
      <c r="G126" s="1">
        <f t="shared" si="29"/>
        <v>2.375</v>
      </c>
    </row>
    <row r="127" spans="1:7" x14ac:dyDescent="0.2">
      <c r="A127" s="1" t="s">
        <v>64</v>
      </c>
      <c r="B127" s="3">
        <v>46943</v>
      </c>
      <c r="C127" s="1">
        <v>100</v>
      </c>
      <c r="D127" s="4">
        <v>4.7500000000000001E-2</v>
      </c>
      <c r="E127" s="5">
        <f t="shared" si="28"/>
        <v>2.375</v>
      </c>
      <c r="F127" s="1">
        <v>0</v>
      </c>
      <c r="G127" s="1">
        <f t="shared" si="29"/>
        <v>2.375</v>
      </c>
    </row>
    <row r="128" spans="1:7" x14ac:dyDescent="0.2">
      <c r="A128" s="1" t="s">
        <v>64</v>
      </c>
      <c r="B128" s="3">
        <v>47127</v>
      </c>
      <c r="C128" s="1">
        <v>100</v>
      </c>
      <c r="D128" s="4">
        <v>0.05</v>
      </c>
      <c r="E128" s="5">
        <f t="shared" si="28"/>
        <v>2.5</v>
      </c>
      <c r="F128" s="1">
        <v>0</v>
      </c>
      <c r="G128" s="1">
        <f t="shared" si="29"/>
        <v>2.5</v>
      </c>
    </row>
    <row r="129" spans="1:7" x14ac:dyDescent="0.2">
      <c r="A129" s="1" t="s">
        <v>64</v>
      </c>
      <c r="B129" s="3">
        <v>47308</v>
      </c>
      <c r="C129" s="1">
        <v>100</v>
      </c>
      <c r="D129" s="4">
        <v>0.05</v>
      </c>
      <c r="E129" s="5">
        <f t="shared" ref="E129:E141" si="30">((D129*C128)/360)*DAYS360(B128,B129)</f>
        <v>2.5</v>
      </c>
      <c r="F129" s="1">
        <v>0</v>
      </c>
      <c r="G129" s="1">
        <f t="shared" ref="G129:G141" si="31">F129+E129</f>
        <v>2.5</v>
      </c>
    </row>
    <row r="130" spans="1:7" x14ac:dyDescent="0.2">
      <c r="A130" s="1" t="s">
        <v>64</v>
      </c>
      <c r="B130" s="3">
        <v>47492</v>
      </c>
      <c r="C130" s="1">
        <v>100</v>
      </c>
      <c r="D130" s="4">
        <v>0.05</v>
      </c>
      <c r="E130" s="5">
        <f t="shared" si="30"/>
        <v>2.5</v>
      </c>
      <c r="F130" s="1">
        <v>0</v>
      </c>
      <c r="G130" s="1">
        <f t="shared" si="31"/>
        <v>2.5</v>
      </c>
    </row>
    <row r="131" spans="1:7" x14ac:dyDescent="0.2">
      <c r="A131" s="1" t="s">
        <v>64</v>
      </c>
      <c r="B131" s="3">
        <v>47673</v>
      </c>
      <c r="C131" s="1">
        <v>100</v>
      </c>
      <c r="D131" s="4">
        <v>0.05</v>
      </c>
      <c r="E131" s="5">
        <f t="shared" si="30"/>
        <v>2.5</v>
      </c>
      <c r="F131" s="1">
        <v>0</v>
      </c>
      <c r="G131" s="1">
        <f t="shared" si="31"/>
        <v>2.5</v>
      </c>
    </row>
    <row r="132" spans="1:7" x14ac:dyDescent="0.2">
      <c r="A132" s="1" t="s">
        <v>64</v>
      </c>
      <c r="B132" s="3">
        <v>47857</v>
      </c>
      <c r="C132" s="1">
        <f>C131-F132</f>
        <v>90</v>
      </c>
      <c r="D132" s="4">
        <v>0.05</v>
      </c>
      <c r="E132" s="5">
        <f t="shared" si="30"/>
        <v>2.5</v>
      </c>
      <c r="F132" s="1">
        <v>10</v>
      </c>
      <c r="G132" s="1">
        <f t="shared" si="31"/>
        <v>12.5</v>
      </c>
    </row>
    <row r="133" spans="1:7" x14ac:dyDescent="0.2">
      <c r="A133" s="1" t="s">
        <v>64</v>
      </c>
      <c r="B133" s="3">
        <v>48038</v>
      </c>
      <c r="C133" s="1">
        <f t="shared" ref="C133:C141" si="32">C132-F133</f>
        <v>80</v>
      </c>
      <c r="D133" s="4">
        <v>0.05</v>
      </c>
      <c r="E133" s="5">
        <f t="shared" si="30"/>
        <v>2.25</v>
      </c>
      <c r="F133" s="1">
        <v>10</v>
      </c>
      <c r="G133" s="1">
        <f t="shared" si="31"/>
        <v>12.25</v>
      </c>
    </row>
    <row r="134" spans="1:7" x14ac:dyDescent="0.2">
      <c r="A134" s="1" t="s">
        <v>64</v>
      </c>
      <c r="B134" s="3">
        <v>48222</v>
      </c>
      <c r="C134" s="1">
        <f t="shared" si="32"/>
        <v>70</v>
      </c>
      <c r="D134" s="4">
        <v>0.05</v>
      </c>
      <c r="E134" s="5">
        <f t="shared" si="30"/>
        <v>2</v>
      </c>
      <c r="F134" s="1">
        <v>10</v>
      </c>
      <c r="G134" s="1">
        <f t="shared" si="31"/>
        <v>12</v>
      </c>
    </row>
    <row r="135" spans="1:7" x14ac:dyDescent="0.2">
      <c r="A135" s="1" t="s">
        <v>64</v>
      </c>
      <c r="B135" s="3">
        <v>48404</v>
      </c>
      <c r="C135" s="1">
        <f t="shared" si="32"/>
        <v>60</v>
      </c>
      <c r="D135" s="4">
        <v>0.05</v>
      </c>
      <c r="E135" s="5">
        <f t="shared" si="30"/>
        <v>1.75</v>
      </c>
      <c r="F135" s="1">
        <v>10</v>
      </c>
      <c r="G135" s="1">
        <f t="shared" si="31"/>
        <v>11.75</v>
      </c>
    </row>
    <row r="136" spans="1:7" x14ac:dyDescent="0.2">
      <c r="A136" s="1" t="s">
        <v>64</v>
      </c>
      <c r="B136" s="3">
        <v>48588</v>
      </c>
      <c r="C136" s="1">
        <f t="shared" si="32"/>
        <v>50</v>
      </c>
      <c r="D136" s="4">
        <v>0.05</v>
      </c>
      <c r="E136" s="5">
        <f t="shared" si="30"/>
        <v>1.5</v>
      </c>
      <c r="F136" s="1">
        <v>10</v>
      </c>
      <c r="G136" s="1">
        <f t="shared" si="31"/>
        <v>11.5</v>
      </c>
    </row>
    <row r="137" spans="1:7" x14ac:dyDescent="0.2">
      <c r="A137" s="1" t="s">
        <v>64</v>
      </c>
      <c r="B137" s="3">
        <v>48769</v>
      </c>
      <c r="C137" s="1">
        <f t="shared" si="32"/>
        <v>40</v>
      </c>
      <c r="D137" s="4">
        <v>0.05</v>
      </c>
      <c r="E137" s="5">
        <f t="shared" si="30"/>
        <v>1.25</v>
      </c>
      <c r="F137" s="1">
        <v>10</v>
      </c>
      <c r="G137" s="1">
        <f t="shared" si="31"/>
        <v>11.25</v>
      </c>
    </row>
    <row r="138" spans="1:7" x14ac:dyDescent="0.2">
      <c r="A138" s="1" t="s">
        <v>64</v>
      </c>
      <c r="B138" s="3">
        <v>48953</v>
      </c>
      <c r="C138" s="1">
        <f t="shared" si="32"/>
        <v>30</v>
      </c>
      <c r="D138" s="4">
        <v>0.05</v>
      </c>
      <c r="E138" s="5">
        <f t="shared" si="30"/>
        <v>1</v>
      </c>
      <c r="F138" s="1">
        <v>10</v>
      </c>
      <c r="G138" s="1">
        <f t="shared" si="31"/>
        <v>11</v>
      </c>
    </row>
    <row r="139" spans="1:7" x14ac:dyDescent="0.2">
      <c r="A139" s="1" t="s">
        <v>64</v>
      </c>
      <c r="B139" s="3">
        <v>49134</v>
      </c>
      <c r="C139" s="1">
        <f t="shared" si="32"/>
        <v>20</v>
      </c>
      <c r="D139" s="4">
        <v>0.05</v>
      </c>
      <c r="E139" s="5">
        <f t="shared" si="30"/>
        <v>0.75</v>
      </c>
      <c r="F139" s="1">
        <v>10</v>
      </c>
      <c r="G139" s="1">
        <f t="shared" si="31"/>
        <v>10.75</v>
      </c>
    </row>
    <row r="140" spans="1:7" x14ac:dyDescent="0.2">
      <c r="A140" s="1" t="s">
        <v>64</v>
      </c>
      <c r="B140" s="3">
        <v>49318</v>
      </c>
      <c r="C140" s="1">
        <f t="shared" si="32"/>
        <v>10</v>
      </c>
      <c r="D140" s="4">
        <v>0.05</v>
      </c>
      <c r="E140" s="5">
        <f t="shared" si="30"/>
        <v>0.5</v>
      </c>
      <c r="F140" s="1">
        <v>10</v>
      </c>
      <c r="G140" s="1">
        <f t="shared" si="31"/>
        <v>10.5</v>
      </c>
    </row>
    <row r="141" spans="1:7" x14ac:dyDescent="0.2">
      <c r="A141" s="1" t="s">
        <v>64</v>
      </c>
      <c r="B141" s="3">
        <v>49499</v>
      </c>
      <c r="C141" s="1">
        <f t="shared" si="32"/>
        <v>0</v>
      </c>
      <c r="D141" s="4">
        <v>0.05</v>
      </c>
      <c r="E141" s="5">
        <f t="shared" si="30"/>
        <v>0.25</v>
      </c>
      <c r="F141" s="1">
        <v>10</v>
      </c>
      <c r="G141" s="1">
        <f t="shared" si="31"/>
        <v>10.25</v>
      </c>
    </row>
    <row r="142" spans="1:7" x14ac:dyDescent="0.2">
      <c r="A142" s="1"/>
      <c r="B142" s="3"/>
      <c r="C142" s="1"/>
      <c r="D142" s="4"/>
      <c r="E142" s="5"/>
      <c r="F142" s="1"/>
      <c r="G142" s="1"/>
    </row>
    <row r="143" spans="1:7" x14ac:dyDescent="0.2">
      <c r="A143" s="2" t="s">
        <v>0</v>
      </c>
      <c r="B143" s="2" t="s">
        <v>10</v>
      </c>
      <c r="C143" s="2" t="s">
        <v>11</v>
      </c>
      <c r="D143" s="2" t="s">
        <v>14</v>
      </c>
      <c r="E143" s="2" t="s">
        <v>12</v>
      </c>
      <c r="F143" s="2" t="s">
        <v>13</v>
      </c>
      <c r="G143" s="2" t="s">
        <v>15</v>
      </c>
    </row>
    <row r="144" spans="1:7" x14ac:dyDescent="0.2">
      <c r="A144" s="1" t="s">
        <v>67</v>
      </c>
      <c r="B144" s="3">
        <v>44078</v>
      </c>
      <c r="C144" s="1">
        <v>100</v>
      </c>
      <c r="D144" s="1">
        <v>0</v>
      </c>
      <c r="E144" s="1">
        <v>0</v>
      </c>
      <c r="F144" s="1">
        <v>0</v>
      </c>
      <c r="G144" s="1">
        <f>F144+E144</f>
        <v>0</v>
      </c>
    </row>
    <row r="145" spans="1:10" x14ac:dyDescent="0.2">
      <c r="A145" s="1" t="s">
        <v>67</v>
      </c>
      <c r="B145" s="3">
        <v>44386</v>
      </c>
      <c r="C145" s="1">
        <v>100</v>
      </c>
      <c r="D145" s="4">
        <v>1.25E-3</v>
      </c>
      <c r="E145" s="5">
        <f t="shared" ref="E145:E155" si="33">((D145*C144)/360)*DAYS360(B144,B145)</f>
        <v>0.10590277777777778</v>
      </c>
      <c r="F145" s="1">
        <v>0</v>
      </c>
      <c r="G145" s="1">
        <f t="shared" ref="G145:G155" si="34">F145+E145</f>
        <v>0.10590277777777778</v>
      </c>
    </row>
    <row r="146" spans="1:10" x14ac:dyDescent="0.2">
      <c r="A146" s="1" t="s">
        <v>67</v>
      </c>
      <c r="B146" s="3">
        <v>44570</v>
      </c>
      <c r="C146" s="1">
        <v>100</v>
      </c>
      <c r="D146" s="4">
        <v>0.02</v>
      </c>
      <c r="E146" s="5">
        <f t="shared" si="33"/>
        <v>1</v>
      </c>
      <c r="F146" s="1">
        <v>0</v>
      </c>
      <c r="G146" s="1">
        <f t="shared" si="34"/>
        <v>1</v>
      </c>
    </row>
    <row r="147" spans="1:10" x14ac:dyDescent="0.2">
      <c r="A147" s="1" t="s">
        <v>67</v>
      </c>
      <c r="B147" s="3">
        <v>44751</v>
      </c>
      <c r="C147" s="1">
        <v>100</v>
      </c>
      <c r="D147" s="4">
        <v>0.02</v>
      </c>
      <c r="E147" s="5">
        <f t="shared" si="33"/>
        <v>1</v>
      </c>
      <c r="F147" s="1">
        <v>0</v>
      </c>
      <c r="G147" s="1">
        <f t="shared" si="34"/>
        <v>1</v>
      </c>
    </row>
    <row r="148" spans="1:10" x14ac:dyDescent="0.2">
      <c r="A148" s="1" t="s">
        <v>67</v>
      </c>
      <c r="B148" s="3">
        <v>44935</v>
      </c>
      <c r="C148" s="1">
        <v>100</v>
      </c>
      <c r="D148" s="4">
        <v>3.875E-2</v>
      </c>
      <c r="E148" s="5">
        <f t="shared" si="33"/>
        <v>1.9375</v>
      </c>
      <c r="F148" s="1">
        <v>0</v>
      </c>
      <c r="G148" s="1">
        <f t="shared" si="34"/>
        <v>1.9375</v>
      </c>
    </row>
    <row r="149" spans="1:10" x14ac:dyDescent="0.2">
      <c r="A149" s="1" t="s">
        <v>67</v>
      </c>
      <c r="B149" s="3">
        <v>45116</v>
      </c>
      <c r="C149" s="1">
        <v>100</v>
      </c>
      <c r="D149" s="4">
        <v>3.875E-2</v>
      </c>
      <c r="E149" s="5">
        <f t="shared" si="33"/>
        <v>1.9375</v>
      </c>
      <c r="F149" s="1">
        <v>0</v>
      </c>
      <c r="G149" s="1">
        <f t="shared" si="34"/>
        <v>1.9375</v>
      </c>
    </row>
    <row r="150" spans="1:10" x14ac:dyDescent="0.2">
      <c r="A150" s="1" t="s">
        <v>67</v>
      </c>
      <c r="B150" s="3">
        <v>45300</v>
      </c>
      <c r="C150" s="1">
        <v>100</v>
      </c>
      <c r="D150" s="4">
        <v>4.2500000000000003E-2</v>
      </c>
      <c r="E150" s="5">
        <f t="shared" si="33"/>
        <v>2.125</v>
      </c>
      <c r="F150" s="1">
        <v>0</v>
      </c>
      <c r="G150" s="1">
        <f t="shared" si="34"/>
        <v>2.125</v>
      </c>
    </row>
    <row r="151" spans="1:10" x14ac:dyDescent="0.2">
      <c r="A151" s="1" t="s">
        <v>67</v>
      </c>
      <c r="B151" s="3">
        <v>45482</v>
      </c>
      <c r="C151" s="1">
        <v>100</v>
      </c>
      <c r="D151" s="4">
        <v>4.2500000000000003E-2</v>
      </c>
      <c r="E151" s="5">
        <f t="shared" si="33"/>
        <v>2.125</v>
      </c>
      <c r="F151" s="1">
        <v>0</v>
      </c>
      <c r="G151" s="1">
        <f t="shared" si="34"/>
        <v>2.125</v>
      </c>
    </row>
    <row r="152" spans="1:10" x14ac:dyDescent="0.2">
      <c r="A152" s="1" t="s">
        <v>67</v>
      </c>
      <c r="B152" s="3">
        <v>45666</v>
      </c>
      <c r="C152" s="1">
        <v>100</v>
      </c>
      <c r="D152" s="4">
        <v>0.05</v>
      </c>
      <c r="E152" s="5">
        <f t="shared" si="33"/>
        <v>2.5</v>
      </c>
      <c r="F152" s="1">
        <v>0</v>
      </c>
      <c r="G152" s="1">
        <f t="shared" si="34"/>
        <v>2.5</v>
      </c>
    </row>
    <row r="153" spans="1:10" x14ac:dyDescent="0.2">
      <c r="A153" s="1" t="s">
        <v>67</v>
      </c>
      <c r="B153" s="3">
        <v>45847</v>
      </c>
      <c r="C153" s="1">
        <v>100</v>
      </c>
      <c r="D153" s="4">
        <v>0.05</v>
      </c>
      <c r="E153" s="5">
        <f t="shared" si="33"/>
        <v>2.5</v>
      </c>
      <c r="F153" s="1">
        <v>0</v>
      </c>
      <c r="G153" s="1">
        <f t="shared" si="34"/>
        <v>2.5</v>
      </c>
    </row>
    <row r="154" spans="1:10" x14ac:dyDescent="0.2">
      <c r="A154" s="1" t="s">
        <v>67</v>
      </c>
      <c r="B154" s="3">
        <v>46031</v>
      </c>
      <c r="C154" s="1">
        <v>100</v>
      </c>
      <c r="D154" s="4">
        <v>0.05</v>
      </c>
      <c r="E154" s="5">
        <f>((D154*C153)/360)*DAYS360(B153,B154)</f>
        <v>2.5</v>
      </c>
      <c r="F154" s="1">
        <v>0</v>
      </c>
      <c r="G154" s="1">
        <f t="shared" si="34"/>
        <v>2.5</v>
      </c>
    </row>
    <row r="155" spans="1:10" x14ac:dyDescent="0.2">
      <c r="A155" s="1" t="s">
        <v>67</v>
      </c>
      <c r="B155" s="3">
        <v>46212</v>
      </c>
      <c r="C155" s="1">
        <v>100</v>
      </c>
      <c r="D155" s="4">
        <v>0.05</v>
      </c>
      <c r="E155" s="5">
        <f t="shared" si="33"/>
        <v>2.5</v>
      </c>
      <c r="F155" s="1">
        <v>0</v>
      </c>
      <c r="G155" s="1">
        <f t="shared" si="34"/>
        <v>2.5</v>
      </c>
      <c r="I155" s="8"/>
    </row>
    <row r="156" spans="1:10" x14ac:dyDescent="0.2">
      <c r="A156" s="1" t="s">
        <v>67</v>
      </c>
      <c r="B156" s="3">
        <v>46396</v>
      </c>
      <c r="C156" s="1">
        <v>100</v>
      </c>
      <c r="D156" s="4">
        <v>0.05</v>
      </c>
      <c r="E156" s="5">
        <f t="shared" ref="E156:E178" si="35">((D156*C155)/360)*DAYS360(B155,B156)</f>
        <v>2.5</v>
      </c>
      <c r="F156" s="1">
        <v>0</v>
      </c>
      <c r="G156" s="1">
        <f t="shared" ref="G156:G178" si="36">F156+E156</f>
        <v>2.5</v>
      </c>
      <c r="I156" s="3"/>
      <c r="J156" s="1"/>
    </row>
    <row r="157" spans="1:10" x14ac:dyDescent="0.2">
      <c r="A157" s="1" t="s">
        <v>67</v>
      </c>
      <c r="B157" s="3">
        <v>46577</v>
      </c>
      <c r="C157" s="1">
        <f t="shared" ref="C157:C177" si="37">C156-F157</f>
        <v>95.454599999999999</v>
      </c>
      <c r="D157" s="4">
        <v>0.05</v>
      </c>
      <c r="E157" s="5">
        <f t="shared" si="35"/>
        <v>2.5</v>
      </c>
      <c r="F157" s="1">
        <v>4.5453999999999999</v>
      </c>
      <c r="G157" s="1">
        <f t="shared" si="36"/>
        <v>7.0453999999999999</v>
      </c>
      <c r="I157" s="3"/>
      <c r="J157" s="1"/>
    </row>
    <row r="158" spans="1:10" x14ac:dyDescent="0.2">
      <c r="A158" s="1" t="s">
        <v>67</v>
      </c>
      <c r="B158" s="3">
        <v>46761</v>
      </c>
      <c r="C158" s="1">
        <f t="shared" si="37"/>
        <v>90.909199999999998</v>
      </c>
      <c r="D158" s="4">
        <v>0.05</v>
      </c>
      <c r="E158" s="5">
        <f t="shared" si="35"/>
        <v>2.3863650000000001</v>
      </c>
      <c r="F158" s="1">
        <v>4.5453999999999999</v>
      </c>
      <c r="G158" s="1">
        <f t="shared" si="36"/>
        <v>6.9317650000000004</v>
      </c>
      <c r="I158" s="3"/>
      <c r="J158" s="1"/>
    </row>
    <row r="159" spans="1:10" x14ac:dyDescent="0.2">
      <c r="A159" s="1" t="s">
        <v>67</v>
      </c>
      <c r="B159" s="3">
        <v>46943</v>
      </c>
      <c r="C159" s="1">
        <f t="shared" si="37"/>
        <v>86.363799999999998</v>
      </c>
      <c r="D159" s="4">
        <v>0.05</v>
      </c>
      <c r="E159" s="5">
        <f t="shared" si="35"/>
        <v>2.2727300000000001</v>
      </c>
      <c r="F159" s="1">
        <v>4.5453999999999999</v>
      </c>
      <c r="G159" s="1">
        <f t="shared" si="36"/>
        <v>6.81813</v>
      </c>
      <c r="I159" s="3"/>
      <c r="J159" s="1"/>
    </row>
    <row r="160" spans="1:10" x14ac:dyDescent="0.2">
      <c r="A160" s="1" t="s">
        <v>67</v>
      </c>
      <c r="B160" s="3">
        <v>47127</v>
      </c>
      <c r="C160" s="1">
        <f t="shared" si="37"/>
        <v>81.818399999999997</v>
      </c>
      <c r="D160" s="4">
        <v>0.05</v>
      </c>
      <c r="E160" s="5">
        <f t="shared" si="35"/>
        <v>2.1590950000000002</v>
      </c>
      <c r="F160" s="1">
        <v>4.5453999999999999</v>
      </c>
      <c r="G160" s="1">
        <f t="shared" si="36"/>
        <v>6.7044949999999996</v>
      </c>
      <c r="I160" s="3"/>
      <c r="J160" s="1"/>
    </row>
    <row r="161" spans="1:10" x14ac:dyDescent="0.2">
      <c r="A161" s="1" t="s">
        <v>67</v>
      </c>
      <c r="B161" s="3">
        <v>47308</v>
      </c>
      <c r="C161" s="1">
        <f t="shared" si="37"/>
        <v>77.272999999999996</v>
      </c>
      <c r="D161" s="4">
        <v>0.05</v>
      </c>
      <c r="E161" s="5">
        <f t="shared" si="35"/>
        <v>2.0454599999999998</v>
      </c>
      <c r="F161" s="1">
        <v>4.5453999999999999</v>
      </c>
      <c r="G161" s="1">
        <f t="shared" si="36"/>
        <v>6.5908599999999993</v>
      </c>
      <c r="I161" s="3"/>
      <c r="J161" s="1"/>
    </row>
    <row r="162" spans="1:10" x14ac:dyDescent="0.2">
      <c r="A162" s="1" t="s">
        <v>67</v>
      </c>
      <c r="B162" s="3">
        <v>47492</v>
      </c>
      <c r="C162" s="1">
        <f t="shared" si="37"/>
        <v>72.727599999999995</v>
      </c>
      <c r="D162" s="4">
        <v>0.05</v>
      </c>
      <c r="E162" s="5">
        <f t="shared" si="35"/>
        <v>1.9318249999999999</v>
      </c>
      <c r="F162" s="1">
        <v>4.5453999999999999</v>
      </c>
      <c r="G162" s="1">
        <f t="shared" si="36"/>
        <v>6.4772249999999998</v>
      </c>
      <c r="I162" s="3"/>
      <c r="J162" s="1"/>
    </row>
    <row r="163" spans="1:10" x14ac:dyDescent="0.2">
      <c r="A163" s="1" t="s">
        <v>67</v>
      </c>
      <c r="B163" s="3">
        <v>47673</v>
      </c>
      <c r="C163" s="1">
        <f t="shared" si="37"/>
        <v>68.182199999999995</v>
      </c>
      <c r="D163" s="4">
        <v>0.05</v>
      </c>
      <c r="E163" s="5">
        <f t="shared" si="35"/>
        <v>1.81819</v>
      </c>
      <c r="F163" s="1">
        <v>4.5453999999999999</v>
      </c>
      <c r="G163" s="1">
        <f t="shared" si="36"/>
        <v>6.3635900000000003</v>
      </c>
      <c r="I163" s="3"/>
      <c r="J163" s="1"/>
    </row>
    <row r="164" spans="1:10" x14ac:dyDescent="0.2">
      <c r="A164" s="1" t="s">
        <v>67</v>
      </c>
      <c r="B164" s="3">
        <v>47857</v>
      </c>
      <c r="C164" s="1">
        <f t="shared" si="37"/>
        <v>63.636799999999994</v>
      </c>
      <c r="D164" s="4">
        <v>0.05</v>
      </c>
      <c r="E164" s="5">
        <f t="shared" si="35"/>
        <v>1.704555</v>
      </c>
      <c r="F164" s="1">
        <v>4.5453999999999999</v>
      </c>
      <c r="G164" s="1">
        <f t="shared" si="36"/>
        <v>6.2499549999999999</v>
      </c>
      <c r="I164" s="3"/>
      <c r="J164" s="1"/>
    </row>
    <row r="165" spans="1:10" x14ac:dyDescent="0.2">
      <c r="A165" s="1" t="s">
        <v>67</v>
      </c>
      <c r="B165" s="3">
        <v>48038</v>
      </c>
      <c r="C165" s="1">
        <f t="shared" si="37"/>
        <v>59.091399999999993</v>
      </c>
      <c r="D165" s="4">
        <v>0.05</v>
      </c>
      <c r="E165" s="5">
        <f t="shared" si="35"/>
        <v>1.5909199999999999</v>
      </c>
      <c r="F165" s="1">
        <v>4.5453999999999999</v>
      </c>
      <c r="G165" s="1">
        <f t="shared" si="36"/>
        <v>6.1363199999999996</v>
      </c>
      <c r="I165" s="3"/>
      <c r="J165" s="1"/>
    </row>
    <row r="166" spans="1:10" x14ac:dyDescent="0.2">
      <c r="A166" s="1" t="s">
        <v>67</v>
      </c>
      <c r="B166" s="3">
        <v>48222</v>
      </c>
      <c r="C166" s="1">
        <f t="shared" si="37"/>
        <v>54.545999999999992</v>
      </c>
      <c r="D166" s="4">
        <v>0.05</v>
      </c>
      <c r="E166" s="5">
        <f t="shared" si="35"/>
        <v>1.477285</v>
      </c>
      <c r="F166" s="1">
        <v>4.5453999999999999</v>
      </c>
      <c r="G166" s="1">
        <f t="shared" si="36"/>
        <v>6.0226850000000001</v>
      </c>
      <c r="I166" s="3"/>
      <c r="J166" s="1"/>
    </row>
    <row r="167" spans="1:10" x14ac:dyDescent="0.2">
      <c r="A167" s="1" t="s">
        <v>67</v>
      </c>
      <c r="B167" s="3">
        <v>48404</v>
      </c>
      <c r="C167" s="1">
        <f t="shared" si="37"/>
        <v>50.000599999999991</v>
      </c>
      <c r="D167" s="4">
        <v>0.05</v>
      </c>
      <c r="E167" s="5">
        <f t="shared" si="35"/>
        <v>1.3636499999999998</v>
      </c>
      <c r="F167" s="1">
        <v>4.5453999999999999</v>
      </c>
      <c r="G167" s="1">
        <f t="shared" si="36"/>
        <v>5.9090499999999997</v>
      </c>
      <c r="I167" s="3"/>
      <c r="J167" s="1"/>
    </row>
    <row r="168" spans="1:10" x14ac:dyDescent="0.2">
      <c r="A168" s="1" t="s">
        <v>67</v>
      </c>
      <c r="B168" s="3">
        <v>48588</v>
      </c>
      <c r="C168" s="1">
        <f t="shared" si="37"/>
        <v>45.455199999999991</v>
      </c>
      <c r="D168" s="4">
        <v>0.05</v>
      </c>
      <c r="E168" s="5">
        <f t="shared" si="35"/>
        <v>1.2500149999999999</v>
      </c>
      <c r="F168" s="1">
        <v>4.5453999999999999</v>
      </c>
      <c r="G168" s="1">
        <f t="shared" si="36"/>
        <v>5.7954150000000002</v>
      </c>
      <c r="I168" s="3"/>
      <c r="J168" s="1"/>
    </row>
    <row r="169" spans="1:10" x14ac:dyDescent="0.2">
      <c r="A169" s="1" t="s">
        <v>67</v>
      </c>
      <c r="B169" s="3">
        <v>48769</v>
      </c>
      <c r="C169" s="1">
        <f t="shared" si="37"/>
        <v>40.90979999999999</v>
      </c>
      <c r="D169" s="4">
        <v>0.05</v>
      </c>
      <c r="E169" s="5">
        <f t="shared" si="35"/>
        <v>1.1363799999999997</v>
      </c>
      <c r="F169" s="1">
        <v>4.5453999999999999</v>
      </c>
      <c r="G169" s="1">
        <f t="shared" si="36"/>
        <v>5.6817799999999998</v>
      </c>
      <c r="I169" s="3"/>
      <c r="J169" s="1"/>
    </row>
    <row r="170" spans="1:10" x14ac:dyDescent="0.2">
      <c r="A170" s="1" t="s">
        <v>67</v>
      </c>
      <c r="B170" s="3">
        <v>48953</v>
      </c>
      <c r="C170" s="1">
        <f t="shared" si="37"/>
        <v>36.364399999999989</v>
      </c>
      <c r="D170" s="4">
        <v>0.05</v>
      </c>
      <c r="E170" s="5">
        <f t="shared" si="35"/>
        <v>1.0227449999999998</v>
      </c>
      <c r="F170" s="1">
        <v>4.5453999999999999</v>
      </c>
      <c r="G170" s="1">
        <f t="shared" si="36"/>
        <v>5.5681449999999995</v>
      </c>
      <c r="I170" s="3"/>
      <c r="J170" s="1"/>
    </row>
    <row r="171" spans="1:10" x14ac:dyDescent="0.2">
      <c r="A171" s="1" t="s">
        <v>67</v>
      </c>
      <c r="B171" s="3">
        <v>49134</v>
      </c>
      <c r="C171" s="1">
        <f t="shared" si="37"/>
        <v>31.818999999999988</v>
      </c>
      <c r="D171" s="4">
        <v>0.05</v>
      </c>
      <c r="E171" s="5">
        <f t="shared" si="35"/>
        <v>0.90910999999999975</v>
      </c>
      <c r="F171" s="1">
        <v>4.5453999999999999</v>
      </c>
      <c r="G171" s="1">
        <f t="shared" si="36"/>
        <v>5.45451</v>
      </c>
      <c r="I171" s="3"/>
      <c r="J171" s="1"/>
    </row>
    <row r="172" spans="1:10" x14ac:dyDescent="0.2">
      <c r="A172" s="1" t="s">
        <v>67</v>
      </c>
      <c r="B172" s="3">
        <v>49318</v>
      </c>
      <c r="C172" s="1">
        <f t="shared" si="37"/>
        <v>27.273599999999988</v>
      </c>
      <c r="D172" s="4">
        <v>0.05</v>
      </c>
      <c r="E172" s="5">
        <f t="shared" si="35"/>
        <v>0.79547499999999971</v>
      </c>
      <c r="F172" s="1">
        <v>4.5453999999999999</v>
      </c>
      <c r="G172" s="1">
        <f t="shared" si="36"/>
        <v>5.3408749999999996</v>
      </c>
      <c r="I172" s="3"/>
      <c r="J172" s="1"/>
    </row>
    <row r="173" spans="1:10" x14ac:dyDescent="0.2">
      <c r="A173" s="1" t="s">
        <v>67</v>
      </c>
      <c r="B173" s="3">
        <v>49499</v>
      </c>
      <c r="C173" s="1">
        <f t="shared" si="37"/>
        <v>22.728199999999987</v>
      </c>
      <c r="D173" s="4">
        <v>0.05</v>
      </c>
      <c r="E173" s="5">
        <f t="shared" si="35"/>
        <v>0.68183999999999978</v>
      </c>
      <c r="F173" s="1">
        <v>4.5453999999999999</v>
      </c>
      <c r="G173" s="1">
        <f t="shared" si="36"/>
        <v>5.2272400000000001</v>
      </c>
      <c r="I173" s="3"/>
      <c r="J173" s="1"/>
    </row>
    <row r="174" spans="1:10" x14ac:dyDescent="0.2">
      <c r="A174" s="1" t="s">
        <v>67</v>
      </c>
      <c r="B174" s="3">
        <v>49683</v>
      </c>
      <c r="C174" s="1">
        <f t="shared" si="37"/>
        <v>18.182799999999986</v>
      </c>
      <c r="D174" s="4">
        <v>0.05</v>
      </c>
      <c r="E174" s="5">
        <f t="shared" si="35"/>
        <v>0.56820499999999974</v>
      </c>
      <c r="F174" s="1">
        <v>4.5453999999999999</v>
      </c>
      <c r="G174" s="1">
        <f t="shared" si="36"/>
        <v>5.1136049999999997</v>
      </c>
      <c r="I174" s="3"/>
      <c r="J174" s="1"/>
    </row>
    <row r="175" spans="1:10" x14ac:dyDescent="0.2">
      <c r="A175" s="1" t="s">
        <v>67</v>
      </c>
      <c r="B175" s="3">
        <v>49865</v>
      </c>
      <c r="C175" s="1">
        <f t="shared" si="37"/>
        <v>13.637399999999985</v>
      </c>
      <c r="D175" s="4">
        <v>0.05</v>
      </c>
      <c r="E175" s="5">
        <f t="shared" si="35"/>
        <v>0.4545699999999997</v>
      </c>
      <c r="F175" s="1">
        <v>4.5453999999999999</v>
      </c>
      <c r="G175" s="1">
        <f t="shared" si="36"/>
        <v>4.9999699999999994</v>
      </c>
      <c r="I175" s="3"/>
      <c r="J175" s="1"/>
    </row>
    <row r="176" spans="1:10" x14ac:dyDescent="0.2">
      <c r="A176" s="1" t="s">
        <v>67</v>
      </c>
      <c r="B176" s="3">
        <v>50049</v>
      </c>
      <c r="C176" s="1">
        <f t="shared" si="37"/>
        <v>9.0919999999999845</v>
      </c>
      <c r="D176" s="4">
        <v>0.05</v>
      </c>
      <c r="E176" s="5">
        <f t="shared" si="35"/>
        <v>0.34093499999999965</v>
      </c>
      <c r="F176" s="1">
        <v>4.5453999999999999</v>
      </c>
      <c r="G176" s="1">
        <f t="shared" si="36"/>
        <v>4.8863349999999999</v>
      </c>
      <c r="I176" s="3"/>
      <c r="J176" s="1"/>
    </row>
    <row r="177" spans="1:10" x14ac:dyDescent="0.2">
      <c r="A177" s="1" t="s">
        <v>67</v>
      </c>
      <c r="B177" s="3">
        <v>50230</v>
      </c>
      <c r="C177" s="1">
        <f t="shared" si="37"/>
        <v>4.5465999999999847</v>
      </c>
      <c r="D177" s="4">
        <v>0.05</v>
      </c>
      <c r="E177" s="5">
        <f t="shared" si="35"/>
        <v>0.22729999999999961</v>
      </c>
      <c r="F177" s="1">
        <v>4.5453999999999999</v>
      </c>
      <c r="G177" s="1">
        <f t="shared" si="36"/>
        <v>4.7726999999999995</v>
      </c>
      <c r="I177" s="3"/>
      <c r="J177" s="1"/>
    </row>
    <row r="178" spans="1:10" x14ac:dyDescent="0.2">
      <c r="A178" s="1" t="s">
        <v>67</v>
      </c>
      <c r="B178" s="3">
        <v>50414</v>
      </c>
      <c r="C178" s="1">
        <v>0</v>
      </c>
      <c r="D178" s="4">
        <v>0.05</v>
      </c>
      <c r="E178" s="5">
        <f t="shared" si="35"/>
        <v>0.11366499999999963</v>
      </c>
      <c r="F178" s="1">
        <v>4.5465999999999998</v>
      </c>
      <c r="G178" s="1">
        <f t="shared" si="36"/>
        <v>4.660264999999999</v>
      </c>
      <c r="I178" s="3"/>
      <c r="J178" s="1"/>
    </row>
    <row r="179" spans="1:10" x14ac:dyDescent="0.2">
      <c r="A179" s="1"/>
      <c r="B179" s="3"/>
      <c r="C179" s="1"/>
      <c r="D179" s="4"/>
      <c r="E179" s="5"/>
      <c r="F179" s="1"/>
      <c r="G179" s="1"/>
    </row>
    <row r="180" spans="1:10" x14ac:dyDescent="0.2">
      <c r="A180" s="2" t="s">
        <v>0</v>
      </c>
      <c r="B180" s="2" t="s">
        <v>10</v>
      </c>
      <c r="C180" s="2" t="s">
        <v>11</v>
      </c>
      <c r="D180" s="2" t="s">
        <v>14</v>
      </c>
      <c r="E180" s="2" t="s">
        <v>12</v>
      </c>
      <c r="F180" s="2" t="s">
        <v>13</v>
      </c>
      <c r="G180" s="2" t="s">
        <v>15</v>
      </c>
    </row>
    <row r="181" spans="1:10" x14ac:dyDescent="0.2">
      <c r="A181" s="1" t="s">
        <v>66</v>
      </c>
      <c r="B181" s="3">
        <v>44078</v>
      </c>
      <c r="C181" s="1">
        <v>100</v>
      </c>
      <c r="D181" s="1">
        <v>0</v>
      </c>
      <c r="E181" s="1">
        <v>0</v>
      </c>
      <c r="F181" s="1">
        <v>0</v>
      </c>
      <c r="G181" s="1">
        <f>F181+E181</f>
        <v>0</v>
      </c>
    </row>
    <row r="182" spans="1:10" x14ac:dyDescent="0.2">
      <c r="A182" s="1" t="s">
        <v>66</v>
      </c>
      <c r="B182" s="3">
        <v>44386</v>
      </c>
      <c r="C182" s="1">
        <v>100</v>
      </c>
      <c r="D182" s="4">
        <v>1.25E-3</v>
      </c>
      <c r="E182" s="5">
        <f t="shared" ref="E182:E215" si="38">((D182*C181)/360)*DAYS360(B181,B182)</f>
        <v>0.10590277777777778</v>
      </c>
      <c r="F182" s="1">
        <v>0</v>
      </c>
      <c r="G182" s="1">
        <f t="shared" ref="G182:G215" si="39">F182+E182</f>
        <v>0.10590277777777778</v>
      </c>
    </row>
    <row r="183" spans="1:10" x14ac:dyDescent="0.2">
      <c r="A183" s="1" t="s">
        <v>66</v>
      </c>
      <c r="B183" s="3">
        <v>44570</v>
      </c>
      <c r="C183" s="1">
        <v>100</v>
      </c>
      <c r="D183" s="4">
        <v>2.5000000000000001E-2</v>
      </c>
      <c r="E183" s="5">
        <f t="shared" si="38"/>
        <v>1.25</v>
      </c>
      <c r="F183" s="1">
        <v>0</v>
      </c>
      <c r="G183" s="1">
        <f t="shared" si="39"/>
        <v>1.25</v>
      </c>
    </row>
    <row r="184" spans="1:10" x14ac:dyDescent="0.2">
      <c r="A184" s="1" t="s">
        <v>66</v>
      </c>
      <c r="B184" s="3">
        <v>44751</v>
      </c>
      <c r="C184" s="1">
        <v>100</v>
      </c>
      <c r="D184" s="4">
        <v>2.5000000000000001E-2</v>
      </c>
      <c r="E184" s="5">
        <f t="shared" si="38"/>
        <v>1.25</v>
      </c>
      <c r="F184" s="1">
        <v>0</v>
      </c>
      <c r="G184" s="1">
        <f t="shared" si="39"/>
        <v>1.25</v>
      </c>
    </row>
    <row r="185" spans="1:10" x14ac:dyDescent="0.2">
      <c r="A185" s="1" t="s">
        <v>66</v>
      </c>
      <c r="B185" s="3">
        <v>44935</v>
      </c>
      <c r="C185" s="1">
        <v>100</v>
      </c>
      <c r="D185" s="4">
        <v>3.5000000000000003E-2</v>
      </c>
      <c r="E185" s="5">
        <f t="shared" si="38"/>
        <v>1.7500000000000004</v>
      </c>
      <c r="F185" s="1">
        <v>0</v>
      </c>
      <c r="G185" s="1">
        <f t="shared" si="39"/>
        <v>1.7500000000000004</v>
      </c>
    </row>
    <row r="186" spans="1:10" x14ac:dyDescent="0.2">
      <c r="A186" s="1" t="s">
        <v>66</v>
      </c>
      <c r="B186" s="3">
        <v>45116</v>
      </c>
      <c r="C186" s="1">
        <v>100</v>
      </c>
      <c r="D186" s="4">
        <v>3.5000000000000003E-2</v>
      </c>
      <c r="E186" s="5">
        <f t="shared" si="38"/>
        <v>1.7500000000000004</v>
      </c>
      <c r="F186" s="1">
        <v>0</v>
      </c>
      <c r="G186" s="1">
        <f t="shared" si="39"/>
        <v>1.7500000000000004</v>
      </c>
    </row>
    <row r="187" spans="1:10" x14ac:dyDescent="0.2">
      <c r="A187" s="1" t="s">
        <v>66</v>
      </c>
      <c r="B187" s="3">
        <v>45300</v>
      </c>
      <c r="C187" s="1">
        <v>100</v>
      </c>
      <c r="D187" s="4">
        <v>3.5000000000000003E-2</v>
      </c>
      <c r="E187" s="5">
        <f t="shared" si="38"/>
        <v>1.7500000000000004</v>
      </c>
      <c r="F187" s="1">
        <v>0</v>
      </c>
      <c r="G187" s="1">
        <f t="shared" si="39"/>
        <v>1.7500000000000004</v>
      </c>
    </row>
    <row r="188" spans="1:10" x14ac:dyDescent="0.2">
      <c r="A188" s="1" t="s">
        <v>66</v>
      </c>
      <c r="B188" s="3">
        <v>45482</v>
      </c>
      <c r="C188" s="1">
        <v>100</v>
      </c>
      <c r="D188" s="4">
        <v>3.5000000000000003E-2</v>
      </c>
      <c r="E188" s="5">
        <f t="shared" si="38"/>
        <v>1.7500000000000004</v>
      </c>
      <c r="F188" s="1">
        <v>0</v>
      </c>
      <c r="G188" s="1">
        <f t="shared" si="39"/>
        <v>1.7500000000000004</v>
      </c>
    </row>
    <row r="189" spans="1:10" x14ac:dyDescent="0.2">
      <c r="A189" s="1" t="s">
        <v>66</v>
      </c>
      <c r="B189" s="3">
        <v>45666</v>
      </c>
      <c r="C189" s="1">
        <v>100</v>
      </c>
      <c r="D189" s="4">
        <v>3.5000000000000003E-2</v>
      </c>
      <c r="E189" s="5">
        <f t="shared" si="38"/>
        <v>1.7500000000000004</v>
      </c>
      <c r="F189" s="1">
        <v>0</v>
      </c>
      <c r="G189" s="1">
        <f t="shared" si="39"/>
        <v>1.7500000000000004</v>
      </c>
    </row>
    <row r="190" spans="1:10" x14ac:dyDescent="0.2">
      <c r="A190" s="1" t="s">
        <v>66</v>
      </c>
      <c r="B190" s="3">
        <v>45847</v>
      </c>
      <c r="C190" s="1">
        <v>100</v>
      </c>
      <c r="D190" s="4">
        <v>3.5000000000000003E-2</v>
      </c>
      <c r="E190" s="5">
        <f t="shared" si="38"/>
        <v>1.7500000000000004</v>
      </c>
      <c r="F190" s="1">
        <v>0</v>
      </c>
      <c r="G190" s="1">
        <f t="shared" si="39"/>
        <v>1.7500000000000004</v>
      </c>
    </row>
    <row r="191" spans="1:10" x14ac:dyDescent="0.2">
      <c r="A191" s="1" t="s">
        <v>66</v>
      </c>
      <c r="B191" s="3">
        <v>46031</v>
      </c>
      <c r="C191" s="1">
        <v>100</v>
      </c>
      <c r="D191" s="4">
        <v>3.5000000000000003E-2</v>
      </c>
      <c r="E191" s="5">
        <f t="shared" si="38"/>
        <v>1.7500000000000004</v>
      </c>
      <c r="F191" s="1">
        <v>0</v>
      </c>
      <c r="G191" s="1">
        <f t="shared" si="39"/>
        <v>1.7500000000000004</v>
      </c>
    </row>
    <row r="192" spans="1:10" x14ac:dyDescent="0.2">
      <c r="A192" s="1" t="s">
        <v>66</v>
      </c>
      <c r="B192" s="3">
        <v>46212</v>
      </c>
      <c r="C192" s="1">
        <v>100</v>
      </c>
      <c r="D192" s="4">
        <v>3.5000000000000003E-2</v>
      </c>
      <c r="E192" s="5">
        <f t="shared" si="38"/>
        <v>1.7500000000000004</v>
      </c>
      <c r="F192" s="1">
        <v>0</v>
      </c>
      <c r="G192" s="1">
        <f t="shared" si="39"/>
        <v>1.7500000000000004</v>
      </c>
    </row>
    <row r="193" spans="1:7" x14ac:dyDescent="0.2">
      <c r="A193" s="1" t="s">
        <v>66</v>
      </c>
      <c r="B193" s="3">
        <v>46396</v>
      </c>
      <c r="C193" s="1">
        <v>100</v>
      </c>
      <c r="D193" s="4">
        <v>3.5000000000000003E-2</v>
      </c>
      <c r="E193" s="5">
        <f t="shared" si="38"/>
        <v>1.7500000000000004</v>
      </c>
      <c r="F193" s="1">
        <v>0</v>
      </c>
      <c r="G193" s="1">
        <f t="shared" si="39"/>
        <v>1.7500000000000004</v>
      </c>
    </row>
    <row r="194" spans="1:7" x14ac:dyDescent="0.2">
      <c r="A194" s="1" t="s">
        <v>66</v>
      </c>
      <c r="B194" s="3">
        <v>46577</v>
      </c>
      <c r="C194" s="1">
        <f>C193-F194</f>
        <v>100</v>
      </c>
      <c r="D194" s="4">
        <v>3.5000000000000003E-2</v>
      </c>
      <c r="E194" s="5">
        <f t="shared" si="38"/>
        <v>1.7500000000000004</v>
      </c>
      <c r="F194" s="1">
        <v>0</v>
      </c>
      <c r="G194" s="1">
        <f t="shared" si="39"/>
        <v>1.7500000000000004</v>
      </c>
    </row>
    <row r="195" spans="1:7" x14ac:dyDescent="0.2">
      <c r="A195" s="1" t="s">
        <v>66</v>
      </c>
      <c r="B195" s="3">
        <v>46761</v>
      </c>
      <c r="C195" s="1">
        <f t="shared" ref="C195:C221" si="40">C194-F195</f>
        <v>96.428600000000003</v>
      </c>
      <c r="D195" s="4">
        <v>3.5000000000000003E-2</v>
      </c>
      <c r="E195" s="5">
        <f t="shared" si="38"/>
        <v>1.7500000000000004</v>
      </c>
      <c r="F195" s="1">
        <v>3.5714000000000001</v>
      </c>
      <c r="G195" s="1">
        <f t="shared" si="39"/>
        <v>5.3214000000000006</v>
      </c>
    </row>
    <row r="196" spans="1:7" x14ac:dyDescent="0.2">
      <c r="A196" s="1" t="s">
        <v>66</v>
      </c>
      <c r="B196" s="3">
        <v>46943</v>
      </c>
      <c r="C196" s="1">
        <f t="shared" si="40"/>
        <v>92.857200000000006</v>
      </c>
      <c r="D196" s="4">
        <v>3.5000000000000003E-2</v>
      </c>
      <c r="E196" s="5">
        <f t="shared" si="38"/>
        <v>1.6875005000000005</v>
      </c>
      <c r="F196" s="1">
        <v>3.5714000000000001</v>
      </c>
      <c r="G196" s="1">
        <f t="shared" si="39"/>
        <v>5.2589005000000011</v>
      </c>
    </row>
    <row r="197" spans="1:7" x14ac:dyDescent="0.2">
      <c r="A197" s="1" t="s">
        <v>66</v>
      </c>
      <c r="B197" s="3">
        <v>47127</v>
      </c>
      <c r="C197" s="1">
        <f t="shared" si="40"/>
        <v>89.285800000000009</v>
      </c>
      <c r="D197" s="4">
        <v>3.5000000000000003E-2</v>
      </c>
      <c r="E197" s="5">
        <f t="shared" si="38"/>
        <v>1.6250010000000004</v>
      </c>
      <c r="F197" s="1">
        <v>3.5714000000000001</v>
      </c>
      <c r="G197" s="1">
        <f t="shared" si="39"/>
        <v>5.1964010000000007</v>
      </c>
    </row>
    <row r="198" spans="1:7" x14ac:dyDescent="0.2">
      <c r="A198" s="1" t="s">
        <v>66</v>
      </c>
      <c r="B198" s="3">
        <v>47308</v>
      </c>
      <c r="C198" s="1">
        <f t="shared" si="40"/>
        <v>85.714400000000012</v>
      </c>
      <c r="D198" s="4">
        <v>3.5000000000000003E-2</v>
      </c>
      <c r="E198" s="5">
        <f t="shared" si="38"/>
        <v>1.5625015000000002</v>
      </c>
      <c r="F198" s="1">
        <v>3.5714000000000001</v>
      </c>
      <c r="G198" s="1">
        <f t="shared" si="39"/>
        <v>5.1339015000000003</v>
      </c>
    </row>
    <row r="199" spans="1:7" x14ac:dyDescent="0.2">
      <c r="A199" s="1" t="s">
        <v>66</v>
      </c>
      <c r="B199" s="3">
        <v>47492</v>
      </c>
      <c r="C199" s="1">
        <f t="shared" si="40"/>
        <v>82.143000000000015</v>
      </c>
      <c r="D199" s="4">
        <v>4.8750000000000002E-2</v>
      </c>
      <c r="E199" s="5">
        <f t="shared" si="38"/>
        <v>2.0892885000000003</v>
      </c>
      <c r="F199" s="1">
        <v>3.5714000000000001</v>
      </c>
      <c r="G199" s="1">
        <f t="shared" si="39"/>
        <v>5.6606885000000009</v>
      </c>
    </row>
    <row r="200" spans="1:7" x14ac:dyDescent="0.2">
      <c r="A200" s="1" t="s">
        <v>66</v>
      </c>
      <c r="B200" s="3">
        <v>47673</v>
      </c>
      <c r="C200" s="1">
        <f t="shared" si="40"/>
        <v>78.571600000000018</v>
      </c>
      <c r="D200" s="4">
        <v>4.8750000000000002E-2</v>
      </c>
      <c r="E200" s="5">
        <f t="shared" si="38"/>
        <v>2.0022356250000004</v>
      </c>
      <c r="F200" s="1">
        <v>3.5714000000000001</v>
      </c>
      <c r="G200" s="1">
        <f t="shared" si="39"/>
        <v>5.5736356250000005</v>
      </c>
    </row>
    <row r="201" spans="1:7" x14ac:dyDescent="0.2">
      <c r="A201" s="1" t="s">
        <v>66</v>
      </c>
      <c r="B201" s="3">
        <v>47857</v>
      </c>
      <c r="C201" s="1">
        <f t="shared" si="40"/>
        <v>75.000200000000021</v>
      </c>
      <c r="D201" s="4">
        <v>4.8750000000000002E-2</v>
      </c>
      <c r="E201" s="5">
        <f t="shared" si="38"/>
        <v>1.9151827500000003</v>
      </c>
      <c r="F201" s="1">
        <v>3.5714000000000001</v>
      </c>
      <c r="G201" s="1">
        <f t="shared" si="39"/>
        <v>5.4865827500000002</v>
      </c>
    </row>
    <row r="202" spans="1:7" x14ac:dyDescent="0.2">
      <c r="A202" s="1" t="s">
        <v>66</v>
      </c>
      <c r="B202" s="3">
        <v>48038</v>
      </c>
      <c r="C202" s="1">
        <f t="shared" si="40"/>
        <v>71.428800000000024</v>
      </c>
      <c r="D202" s="4">
        <v>4.8750000000000002E-2</v>
      </c>
      <c r="E202" s="5">
        <f t="shared" si="38"/>
        <v>1.8281298750000006</v>
      </c>
      <c r="F202" s="1">
        <v>3.5714000000000001</v>
      </c>
      <c r="G202" s="1">
        <f t="shared" si="39"/>
        <v>5.3995298750000007</v>
      </c>
    </row>
    <row r="203" spans="1:7" x14ac:dyDescent="0.2">
      <c r="A203" s="1" t="s">
        <v>66</v>
      </c>
      <c r="B203" s="3">
        <v>48222</v>
      </c>
      <c r="C203" s="1">
        <f t="shared" si="40"/>
        <v>67.857400000000027</v>
      </c>
      <c r="D203" s="4">
        <v>4.8750000000000002E-2</v>
      </c>
      <c r="E203" s="5">
        <f t="shared" si="38"/>
        <v>1.7410770000000007</v>
      </c>
      <c r="F203" s="1">
        <v>3.5714000000000001</v>
      </c>
      <c r="G203" s="1">
        <f t="shared" si="39"/>
        <v>5.3124770000000012</v>
      </c>
    </row>
    <row r="204" spans="1:7" x14ac:dyDescent="0.2">
      <c r="A204" s="1" t="s">
        <v>66</v>
      </c>
      <c r="B204" s="3">
        <v>48404</v>
      </c>
      <c r="C204" s="1">
        <f t="shared" si="40"/>
        <v>64.28600000000003</v>
      </c>
      <c r="D204" s="4">
        <v>4.8750000000000002E-2</v>
      </c>
      <c r="E204" s="5">
        <f t="shared" si="38"/>
        <v>1.6540241250000007</v>
      </c>
      <c r="F204" s="1">
        <v>3.5714000000000001</v>
      </c>
      <c r="G204" s="1">
        <f t="shared" si="39"/>
        <v>5.2254241250000009</v>
      </c>
    </row>
    <row r="205" spans="1:7" x14ac:dyDescent="0.2">
      <c r="A205" s="1" t="s">
        <v>66</v>
      </c>
      <c r="B205" s="3">
        <v>48588</v>
      </c>
      <c r="C205" s="1">
        <f t="shared" si="40"/>
        <v>60.714600000000033</v>
      </c>
      <c r="D205" s="4">
        <v>4.8750000000000002E-2</v>
      </c>
      <c r="E205" s="5">
        <f t="shared" si="38"/>
        <v>1.5669712500000008</v>
      </c>
      <c r="F205" s="1">
        <v>3.5714000000000001</v>
      </c>
      <c r="G205" s="1">
        <f t="shared" si="39"/>
        <v>5.1383712500000005</v>
      </c>
    </row>
    <row r="206" spans="1:7" x14ac:dyDescent="0.2">
      <c r="A206" s="1" t="s">
        <v>66</v>
      </c>
      <c r="B206" s="3">
        <v>48769</v>
      </c>
      <c r="C206" s="1">
        <f t="shared" si="40"/>
        <v>57.143200000000036</v>
      </c>
      <c r="D206" s="4">
        <v>4.8750000000000002E-2</v>
      </c>
      <c r="E206" s="5">
        <f t="shared" si="38"/>
        <v>1.4799183750000011</v>
      </c>
      <c r="F206" s="1">
        <v>3.5714000000000001</v>
      </c>
      <c r="G206" s="1">
        <f t="shared" si="39"/>
        <v>5.051318375000001</v>
      </c>
    </row>
    <row r="207" spans="1:7" x14ac:dyDescent="0.2">
      <c r="A207" s="1" t="s">
        <v>66</v>
      </c>
      <c r="B207" s="3">
        <v>48953</v>
      </c>
      <c r="C207" s="1">
        <f t="shared" si="40"/>
        <v>53.571800000000039</v>
      </c>
      <c r="D207" s="4">
        <v>4.8750000000000002E-2</v>
      </c>
      <c r="E207" s="5">
        <f t="shared" si="38"/>
        <v>1.392865500000001</v>
      </c>
      <c r="F207" s="1">
        <v>3.5714000000000001</v>
      </c>
      <c r="G207" s="1">
        <f t="shared" si="39"/>
        <v>4.9642655000000016</v>
      </c>
    </row>
    <row r="208" spans="1:7" x14ac:dyDescent="0.2">
      <c r="A208" s="1" t="s">
        <v>66</v>
      </c>
      <c r="B208" s="3">
        <v>49134</v>
      </c>
      <c r="C208" s="1">
        <f t="shared" si="40"/>
        <v>50.000400000000042</v>
      </c>
      <c r="D208" s="4">
        <v>4.8750000000000002E-2</v>
      </c>
      <c r="E208" s="5">
        <f t="shared" si="38"/>
        <v>1.3058126250000011</v>
      </c>
      <c r="F208" s="1">
        <v>3.5714000000000001</v>
      </c>
      <c r="G208" s="1">
        <f t="shared" si="39"/>
        <v>4.8772126250000012</v>
      </c>
    </row>
    <row r="209" spans="1:7" x14ac:dyDescent="0.2">
      <c r="A209" s="1" t="s">
        <v>66</v>
      </c>
      <c r="B209" s="3">
        <v>49318</v>
      </c>
      <c r="C209" s="1">
        <f t="shared" si="40"/>
        <v>46.429000000000045</v>
      </c>
      <c r="D209" s="4">
        <v>4.8750000000000002E-2</v>
      </c>
      <c r="E209" s="5">
        <f t="shared" si="38"/>
        <v>1.2187597500000011</v>
      </c>
      <c r="F209" s="1">
        <v>3.5714000000000001</v>
      </c>
      <c r="G209" s="1">
        <f t="shared" si="39"/>
        <v>4.7901597500000008</v>
      </c>
    </row>
    <row r="210" spans="1:7" x14ac:dyDescent="0.2">
      <c r="A210" s="1" t="s">
        <v>66</v>
      </c>
      <c r="B210" s="3">
        <v>49499</v>
      </c>
      <c r="C210" s="1">
        <f t="shared" si="40"/>
        <v>42.857600000000048</v>
      </c>
      <c r="D210" s="4">
        <v>4.8750000000000002E-2</v>
      </c>
      <c r="E210" s="5">
        <f t="shared" si="38"/>
        <v>1.1317068750000012</v>
      </c>
      <c r="F210" s="1">
        <v>3.5714000000000001</v>
      </c>
      <c r="G210" s="1">
        <f t="shared" si="39"/>
        <v>4.7031068750000014</v>
      </c>
    </row>
    <row r="211" spans="1:7" x14ac:dyDescent="0.2">
      <c r="A211" s="1" t="s">
        <v>66</v>
      </c>
      <c r="B211" s="3">
        <v>49683</v>
      </c>
      <c r="C211" s="1">
        <f t="shared" si="40"/>
        <v>39.286200000000051</v>
      </c>
      <c r="D211" s="4">
        <v>4.8750000000000002E-2</v>
      </c>
      <c r="E211" s="5">
        <f t="shared" si="38"/>
        <v>1.0446540000000013</v>
      </c>
      <c r="F211" s="1">
        <v>3.5714000000000001</v>
      </c>
      <c r="G211" s="1">
        <f t="shared" si="39"/>
        <v>4.6160540000000019</v>
      </c>
    </row>
    <row r="212" spans="1:7" x14ac:dyDescent="0.2">
      <c r="A212" s="1" t="s">
        <v>66</v>
      </c>
      <c r="B212" s="3">
        <v>49865</v>
      </c>
      <c r="C212" s="1">
        <f t="shared" si="40"/>
        <v>35.714800000000054</v>
      </c>
      <c r="D212" s="4">
        <v>4.8750000000000002E-2</v>
      </c>
      <c r="E212" s="5">
        <f t="shared" si="38"/>
        <v>0.95760112500000127</v>
      </c>
      <c r="F212" s="1">
        <v>3.5714000000000001</v>
      </c>
      <c r="G212" s="1">
        <f t="shared" si="39"/>
        <v>4.5290011250000015</v>
      </c>
    </row>
    <row r="213" spans="1:7" x14ac:dyDescent="0.2">
      <c r="A213" s="1" t="s">
        <v>66</v>
      </c>
      <c r="B213" s="3">
        <v>50049</v>
      </c>
      <c r="C213" s="1">
        <f t="shared" si="40"/>
        <v>32.143400000000057</v>
      </c>
      <c r="D213" s="4">
        <v>4.8750000000000002E-2</v>
      </c>
      <c r="E213" s="5">
        <f t="shared" si="38"/>
        <v>0.87054825000000136</v>
      </c>
      <c r="F213" s="1">
        <v>3.5714000000000001</v>
      </c>
      <c r="G213" s="1">
        <f t="shared" si="39"/>
        <v>4.4419482500000012</v>
      </c>
    </row>
    <row r="214" spans="1:7" x14ac:dyDescent="0.2">
      <c r="A214" s="1" t="s">
        <v>66</v>
      </c>
      <c r="B214" s="3">
        <v>50230</v>
      </c>
      <c r="C214" s="1">
        <f t="shared" si="40"/>
        <v>28.572000000000056</v>
      </c>
      <c r="D214" s="4">
        <v>4.8750000000000002E-2</v>
      </c>
      <c r="E214" s="5">
        <f t="shared" si="38"/>
        <v>0.78349537500000155</v>
      </c>
      <c r="F214" s="1">
        <v>3.5714000000000001</v>
      </c>
      <c r="G214" s="1">
        <f t="shared" si="39"/>
        <v>4.3548953750000017</v>
      </c>
    </row>
    <row r="215" spans="1:7" x14ac:dyDescent="0.2">
      <c r="A215" s="1" t="s">
        <v>66</v>
      </c>
      <c r="B215" s="3">
        <v>50414</v>
      </c>
      <c r="C215" s="1">
        <f t="shared" si="40"/>
        <v>25.000600000000055</v>
      </c>
      <c r="D215" s="4">
        <v>4.8750000000000002E-2</v>
      </c>
      <c r="E215" s="5">
        <f t="shared" si="38"/>
        <v>0.69644250000000141</v>
      </c>
      <c r="F215" s="1">
        <v>3.5714000000000001</v>
      </c>
      <c r="G215" s="1">
        <f t="shared" si="39"/>
        <v>4.2678425000000013</v>
      </c>
    </row>
    <row r="216" spans="1:7" x14ac:dyDescent="0.2">
      <c r="A216" s="1" t="s">
        <v>66</v>
      </c>
      <c r="B216" s="3">
        <v>50595</v>
      </c>
      <c r="C216" s="1">
        <f t="shared" si="40"/>
        <v>21.429200000000055</v>
      </c>
      <c r="D216" s="4">
        <v>4.8750000000000002E-2</v>
      </c>
      <c r="E216" s="5">
        <f t="shared" ref="E216:E222" si="41">((D216*C215)/360)*DAYS360(B215,B216)</f>
        <v>0.60938962500000138</v>
      </c>
      <c r="F216" s="1">
        <v>3.5714000000000001</v>
      </c>
      <c r="G216" s="1">
        <f t="shared" ref="G216:G222" si="42">F216+E216</f>
        <v>4.1807896250000018</v>
      </c>
    </row>
    <row r="217" spans="1:7" x14ac:dyDescent="0.2">
      <c r="A217" s="1" t="s">
        <v>66</v>
      </c>
      <c r="B217" s="3">
        <v>50779</v>
      </c>
      <c r="C217" s="1">
        <f t="shared" si="40"/>
        <v>17.857800000000054</v>
      </c>
      <c r="D217" s="4">
        <v>4.8750000000000002E-2</v>
      </c>
      <c r="E217" s="5">
        <f t="shared" si="41"/>
        <v>0.52233675000000135</v>
      </c>
      <c r="F217" s="1">
        <v>3.5714000000000001</v>
      </c>
      <c r="G217" s="1">
        <f t="shared" si="42"/>
        <v>4.0937367500000015</v>
      </c>
    </row>
    <row r="218" spans="1:7" x14ac:dyDescent="0.2">
      <c r="A218" s="1" t="s">
        <v>66</v>
      </c>
      <c r="B218" s="3">
        <v>50960</v>
      </c>
      <c r="C218" s="1">
        <f t="shared" si="40"/>
        <v>14.286400000000054</v>
      </c>
      <c r="D218" s="4">
        <v>4.8750000000000002E-2</v>
      </c>
      <c r="E218" s="5">
        <f t="shared" si="41"/>
        <v>0.43528387500000132</v>
      </c>
      <c r="F218" s="1">
        <v>3.5714000000000001</v>
      </c>
      <c r="G218" s="1">
        <f t="shared" si="42"/>
        <v>4.0066838750000011</v>
      </c>
    </row>
    <row r="219" spans="1:7" x14ac:dyDescent="0.2">
      <c r="A219" s="1" t="s">
        <v>66</v>
      </c>
      <c r="B219" s="3">
        <v>51144</v>
      </c>
      <c r="C219" s="1">
        <f t="shared" si="40"/>
        <v>10.715000000000053</v>
      </c>
      <c r="D219" s="4">
        <v>4.8750000000000002E-2</v>
      </c>
      <c r="E219" s="5">
        <f t="shared" si="41"/>
        <v>0.34823100000000135</v>
      </c>
      <c r="F219" s="1">
        <v>3.5714000000000001</v>
      </c>
      <c r="G219" s="1">
        <f t="shared" si="42"/>
        <v>3.9196310000000016</v>
      </c>
    </row>
    <row r="220" spans="1:7" x14ac:dyDescent="0.2">
      <c r="A220" s="1" t="s">
        <v>66</v>
      </c>
      <c r="B220" s="3">
        <v>51326</v>
      </c>
      <c r="C220" s="1">
        <f t="shared" si="40"/>
        <v>7.1436000000000526</v>
      </c>
      <c r="D220" s="4">
        <v>4.8750000000000002E-2</v>
      </c>
      <c r="E220" s="5">
        <f t="shared" si="41"/>
        <v>0.26117812500000132</v>
      </c>
      <c r="F220" s="1">
        <v>3.5714000000000001</v>
      </c>
      <c r="G220" s="1">
        <f t="shared" si="42"/>
        <v>3.8325781250000013</v>
      </c>
    </row>
    <row r="221" spans="1:7" x14ac:dyDescent="0.2">
      <c r="A221" s="1" t="s">
        <v>66</v>
      </c>
      <c r="B221" s="3">
        <v>51510</v>
      </c>
      <c r="C221" s="1">
        <f t="shared" si="40"/>
        <v>3.5722000000000524</v>
      </c>
      <c r="D221" s="4">
        <v>4.8750000000000002E-2</v>
      </c>
      <c r="E221" s="5">
        <f t="shared" si="41"/>
        <v>0.17412525000000129</v>
      </c>
      <c r="F221" s="1">
        <v>3.5714000000000001</v>
      </c>
      <c r="G221" s="1">
        <f t="shared" si="42"/>
        <v>3.7455252500000014</v>
      </c>
    </row>
    <row r="222" spans="1:7" x14ac:dyDescent="0.2">
      <c r="A222" s="1" t="s">
        <v>66</v>
      </c>
      <c r="B222" s="3">
        <v>51691</v>
      </c>
      <c r="C222" s="1">
        <v>0</v>
      </c>
      <c r="D222" s="4">
        <v>4.8750000000000002E-2</v>
      </c>
      <c r="E222" s="5">
        <f t="shared" si="41"/>
        <v>8.7072375000001284E-2</v>
      </c>
      <c r="F222" s="1">
        <v>3.5722</v>
      </c>
      <c r="G222" s="1">
        <f t="shared" si="42"/>
        <v>3.6592723750000014</v>
      </c>
    </row>
    <row r="224" spans="1:7" x14ac:dyDescent="0.2">
      <c r="A224" s="2" t="s">
        <v>0</v>
      </c>
      <c r="B224" s="2" t="s">
        <v>10</v>
      </c>
      <c r="C224" s="2" t="s">
        <v>11</v>
      </c>
      <c r="D224" s="2" t="s">
        <v>14</v>
      </c>
      <c r="E224" s="2" t="s">
        <v>12</v>
      </c>
      <c r="F224" s="2" t="s">
        <v>13</v>
      </c>
      <c r="G224" s="2" t="s">
        <v>15</v>
      </c>
    </row>
    <row r="225" spans="1:7" x14ac:dyDescent="0.2">
      <c r="A225" s="1" t="s">
        <v>99</v>
      </c>
      <c r="B225" s="3">
        <v>46220</v>
      </c>
      <c r="C225" s="1">
        <v>100</v>
      </c>
      <c r="D225" s="1">
        <v>0</v>
      </c>
      <c r="E225" s="1">
        <v>0</v>
      </c>
      <c r="F225" s="1">
        <v>0</v>
      </c>
      <c r="G225" s="1">
        <f>F225+E225</f>
        <v>0</v>
      </c>
    </row>
    <row r="226" spans="1:7" x14ac:dyDescent="0.2">
      <c r="A226" s="1" t="s">
        <v>99</v>
      </c>
      <c r="B226" s="3">
        <v>46265</v>
      </c>
      <c r="C226" s="1">
        <v>100</v>
      </c>
      <c r="D226" s="4">
        <v>0.06</v>
      </c>
      <c r="E226" s="5">
        <f t="shared" ref="E226:E256" si="43">((D226*C225)/360)*DAYS360(B225,B226)</f>
        <v>0.73333333333333328</v>
      </c>
      <c r="F226" s="1">
        <v>0</v>
      </c>
      <c r="G226" s="1">
        <f t="shared" ref="G226:G256" si="44">F226+E226</f>
        <v>0.73333333333333328</v>
      </c>
    </row>
    <row r="227" spans="1:7" x14ac:dyDescent="0.2">
      <c r="A227" s="1" t="s">
        <v>99</v>
      </c>
      <c r="B227" s="3">
        <v>46295</v>
      </c>
      <c r="C227" s="1">
        <v>100</v>
      </c>
      <c r="D227" s="4">
        <v>0.06</v>
      </c>
      <c r="E227" s="5">
        <f t="shared" si="43"/>
        <v>0.5</v>
      </c>
      <c r="F227" s="1">
        <v>0</v>
      </c>
      <c r="G227" s="1">
        <f t="shared" si="44"/>
        <v>0.5</v>
      </c>
    </row>
    <row r="228" spans="1:7" x14ac:dyDescent="0.2">
      <c r="A228" s="1" t="s">
        <v>99</v>
      </c>
      <c r="B228" s="3">
        <v>46325</v>
      </c>
      <c r="C228" s="1">
        <v>100</v>
      </c>
      <c r="D228" s="4">
        <v>0.06</v>
      </c>
      <c r="E228" s="5">
        <f t="shared" si="43"/>
        <v>0.5</v>
      </c>
      <c r="F228" s="1">
        <v>0</v>
      </c>
      <c r="G228" s="1">
        <f t="shared" si="44"/>
        <v>0.5</v>
      </c>
    </row>
    <row r="229" spans="1:7" x14ac:dyDescent="0.2">
      <c r="A229" s="1" t="s">
        <v>99</v>
      </c>
      <c r="B229" s="3">
        <v>46356</v>
      </c>
      <c r="C229" s="1">
        <v>100</v>
      </c>
      <c r="D229" s="4">
        <v>0.06</v>
      </c>
      <c r="E229" s="5">
        <f t="shared" si="43"/>
        <v>0.5</v>
      </c>
      <c r="F229" s="1">
        <v>0</v>
      </c>
      <c r="G229" s="1">
        <f t="shared" si="44"/>
        <v>0.5</v>
      </c>
    </row>
    <row r="230" spans="1:7" x14ac:dyDescent="0.2">
      <c r="A230" s="1" t="s">
        <v>99</v>
      </c>
      <c r="B230" s="3">
        <v>46386</v>
      </c>
      <c r="C230" s="1">
        <v>100</v>
      </c>
      <c r="D230" s="4">
        <v>0.06</v>
      </c>
      <c r="E230" s="5">
        <f t="shared" si="43"/>
        <v>0.5</v>
      </c>
      <c r="F230" s="1">
        <v>0</v>
      </c>
      <c r="G230" s="1">
        <f t="shared" si="44"/>
        <v>0.5</v>
      </c>
    </row>
    <row r="231" spans="1:7" x14ac:dyDescent="0.2">
      <c r="A231" s="1" t="s">
        <v>99</v>
      </c>
      <c r="B231" s="3">
        <v>46416</v>
      </c>
      <c r="C231" s="1">
        <v>100</v>
      </c>
      <c r="D231" s="4">
        <v>0.06</v>
      </c>
      <c r="E231" s="5">
        <f t="shared" si="43"/>
        <v>0.48333333333333334</v>
      </c>
      <c r="F231" s="1">
        <v>0</v>
      </c>
      <c r="G231" s="1">
        <f t="shared" si="44"/>
        <v>0.48333333333333334</v>
      </c>
    </row>
    <row r="232" spans="1:7" x14ac:dyDescent="0.2">
      <c r="A232" s="1" t="s">
        <v>99</v>
      </c>
      <c r="B232" s="3">
        <v>46444</v>
      </c>
      <c r="C232" s="1">
        <v>100</v>
      </c>
      <c r="D232" s="4">
        <v>0.06</v>
      </c>
      <c r="E232" s="5">
        <f t="shared" si="43"/>
        <v>0.45</v>
      </c>
      <c r="F232" s="1">
        <v>0</v>
      </c>
      <c r="G232" s="1">
        <f t="shared" si="44"/>
        <v>0.45</v>
      </c>
    </row>
    <row r="233" spans="1:7" x14ac:dyDescent="0.2">
      <c r="A233" s="1" t="s">
        <v>99</v>
      </c>
      <c r="B233" s="3">
        <v>46477</v>
      </c>
      <c r="C233" s="1">
        <v>100</v>
      </c>
      <c r="D233" s="4">
        <v>0.06</v>
      </c>
      <c r="E233" s="5">
        <f t="shared" si="43"/>
        <v>0.58333333333333337</v>
      </c>
      <c r="F233" s="1">
        <v>0</v>
      </c>
      <c r="G233" s="1">
        <f t="shared" si="44"/>
        <v>0.58333333333333337</v>
      </c>
    </row>
    <row r="234" spans="1:7" x14ac:dyDescent="0.2">
      <c r="A234" s="1" t="s">
        <v>99</v>
      </c>
      <c r="B234" s="3">
        <v>46507</v>
      </c>
      <c r="C234" s="1">
        <v>100</v>
      </c>
      <c r="D234" s="4">
        <v>0.06</v>
      </c>
      <c r="E234" s="5">
        <f t="shared" si="43"/>
        <v>0.5</v>
      </c>
      <c r="F234" s="1">
        <v>0</v>
      </c>
      <c r="G234" s="1">
        <f t="shared" si="44"/>
        <v>0.5</v>
      </c>
    </row>
    <row r="235" spans="1:7" x14ac:dyDescent="0.2">
      <c r="A235" s="1" t="s">
        <v>99</v>
      </c>
      <c r="B235" s="3">
        <v>46538</v>
      </c>
      <c r="C235" s="1">
        <v>100</v>
      </c>
      <c r="D235" s="4">
        <v>0.06</v>
      </c>
      <c r="E235" s="5">
        <f t="shared" si="43"/>
        <v>0.5</v>
      </c>
      <c r="F235" s="1">
        <v>0</v>
      </c>
      <c r="G235" s="1">
        <f t="shared" si="44"/>
        <v>0.5</v>
      </c>
    </row>
    <row r="236" spans="1:7" x14ac:dyDescent="0.2">
      <c r="A236" s="1" t="s">
        <v>99</v>
      </c>
      <c r="B236" s="3">
        <v>46568</v>
      </c>
      <c r="C236" s="1">
        <v>100</v>
      </c>
      <c r="D236" s="4">
        <v>0.06</v>
      </c>
      <c r="E236" s="5">
        <f t="shared" si="43"/>
        <v>0.5</v>
      </c>
      <c r="F236" s="1">
        <v>0</v>
      </c>
      <c r="G236" s="1">
        <f t="shared" si="44"/>
        <v>0.5</v>
      </c>
    </row>
    <row r="237" spans="1:7" x14ac:dyDescent="0.2">
      <c r="A237" s="1" t="s">
        <v>99</v>
      </c>
      <c r="B237" s="3">
        <v>46598</v>
      </c>
      <c r="C237" s="1">
        <v>100</v>
      </c>
      <c r="D237" s="4">
        <v>0.06</v>
      </c>
      <c r="E237" s="5">
        <f t="shared" si="43"/>
        <v>0.5</v>
      </c>
      <c r="F237" s="1">
        <v>0</v>
      </c>
      <c r="G237" s="1">
        <f t="shared" si="44"/>
        <v>0.5</v>
      </c>
    </row>
    <row r="238" spans="1:7" x14ac:dyDescent="0.2">
      <c r="A238" s="1" t="s">
        <v>99</v>
      </c>
      <c r="B238" s="3">
        <v>46630</v>
      </c>
      <c r="C238" s="1">
        <v>100</v>
      </c>
      <c r="D238" s="4">
        <v>0.06</v>
      </c>
      <c r="E238" s="5">
        <f t="shared" si="43"/>
        <v>0.5</v>
      </c>
      <c r="F238" s="1">
        <v>0</v>
      </c>
      <c r="G238" s="1">
        <f t="shared" si="44"/>
        <v>0.5</v>
      </c>
    </row>
    <row r="239" spans="1:7" x14ac:dyDescent="0.2">
      <c r="A239" s="1" t="s">
        <v>99</v>
      </c>
      <c r="B239" s="3">
        <v>46660</v>
      </c>
      <c r="C239" s="1">
        <v>100</v>
      </c>
      <c r="D239" s="4">
        <v>0.06</v>
      </c>
      <c r="E239" s="5">
        <f t="shared" si="43"/>
        <v>0.5</v>
      </c>
      <c r="F239" s="1">
        <v>0</v>
      </c>
      <c r="G239" s="1">
        <f t="shared" si="44"/>
        <v>0.5</v>
      </c>
    </row>
    <row r="240" spans="1:7" x14ac:dyDescent="0.2">
      <c r="A240" s="1" t="s">
        <v>99</v>
      </c>
      <c r="B240" s="3">
        <v>46689</v>
      </c>
      <c r="C240" s="1">
        <v>100</v>
      </c>
      <c r="D240" s="4">
        <v>0.06</v>
      </c>
      <c r="E240" s="5">
        <f t="shared" si="43"/>
        <v>0.48333333333333334</v>
      </c>
      <c r="F240" s="1">
        <v>0</v>
      </c>
      <c r="G240" s="1">
        <f t="shared" si="44"/>
        <v>0.48333333333333334</v>
      </c>
    </row>
    <row r="241" spans="1:7" x14ac:dyDescent="0.2">
      <c r="A241" s="1" t="s">
        <v>99</v>
      </c>
      <c r="B241" s="3">
        <v>46721</v>
      </c>
      <c r="C241" s="1">
        <v>100</v>
      </c>
      <c r="D241" s="4">
        <v>0.06</v>
      </c>
      <c r="E241" s="5">
        <f t="shared" si="43"/>
        <v>0.51666666666666661</v>
      </c>
      <c r="F241" s="1">
        <v>0</v>
      </c>
      <c r="G241" s="1">
        <f t="shared" si="44"/>
        <v>0.51666666666666661</v>
      </c>
    </row>
    <row r="242" spans="1:7" x14ac:dyDescent="0.2">
      <c r="A242" s="1" t="s">
        <v>99</v>
      </c>
      <c r="B242" s="3">
        <v>46751</v>
      </c>
      <c r="C242" s="1">
        <v>100</v>
      </c>
      <c r="D242" s="4">
        <v>0.06</v>
      </c>
      <c r="E242" s="5">
        <f t="shared" si="43"/>
        <v>0.5</v>
      </c>
      <c r="F242" s="1">
        <v>0</v>
      </c>
      <c r="G242" s="1">
        <f t="shared" si="44"/>
        <v>0.5</v>
      </c>
    </row>
    <row r="243" spans="1:7" x14ac:dyDescent="0.2">
      <c r="A243" s="1" t="s">
        <v>99</v>
      </c>
      <c r="B243" s="3">
        <v>46783</v>
      </c>
      <c r="C243" s="1">
        <v>100</v>
      </c>
      <c r="D243" s="4">
        <v>0.06</v>
      </c>
      <c r="E243" s="5">
        <f t="shared" si="43"/>
        <v>0.5</v>
      </c>
      <c r="F243" s="1">
        <v>0</v>
      </c>
      <c r="G243" s="1">
        <f t="shared" si="44"/>
        <v>0.5</v>
      </c>
    </row>
    <row r="244" spans="1:7" x14ac:dyDescent="0.2">
      <c r="A244" s="1" t="s">
        <v>99</v>
      </c>
      <c r="B244" s="3">
        <v>46812</v>
      </c>
      <c r="C244" s="1">
        <v>100</v>
      </c>
      <c r="D244" s="4">
        <v>0.06</v>
      </c>
      <c r="E244" s="5">
        <f t="shared" si="43"/>
        <v>0.48333333333333334</v>
      </c>
      <c r="F244" s="1">
        <v>0</v>
      </c>
      <c r="G244" s="1">
        <f t="shared" si="44"/>
        <v>0.48333333333333334</v>
      </c>
    </row>
    <row r="245" spans="1:7" x14ac:dyDescent="0.2">
      <c r="A245" s="1" t="s">
        <v>99</v>
      </c>
      <c r="B245" s="3">
        <v>46843</v>
      </c>
      <c r="C245" s="1">
        <v>100</v>
      </c>
      <c r="D245" s="4">
        <v>0.06</v>
      </c>
      <c r="E245" s="5">
        <f t="shared" si="43"/>
        <v>0.5</v>
      </c>
      <c r="F245" s="1">
        <v>0</v>
      </c>
      <c r="G245" s="1">
        <f t="shared" si="44"/>
        <v>0.5</v>
      </c>
    </row>
    <row r="246" spans="1:7" x14ac:dyDescent="0.2">
      <c r="A246" s="1" t="s">
        <v>99</v>
      </c>
      <c r="B246" s="3">
        <v>46871</v>
      </c>
      <c r="C246" s="1">
        <v>100</v>
      </c>
      <c r="D246" s="4">
        <v>0.06</v>
      </c>
      <c r="E246" s="5">
        <f t="shared" si="43"/>
        <v>0.46666666666666667</v>
      </c>
      <c r="F246" s="1">
        <v>0</v>
      </c>
      <c r="G246" s="1">
        <f t="shared" si="44"/>
        <v>0.46666666666666667</v>
      </c>
    </row>
    <row r="247" spans="1:7" x14ac:dyDescent="0.2">
      <c r="A247" s="1" t="s">
        <v>99</v>
      </c>
      <c r="B247" s="3">
        <v>46904</v>
      </c>
      <c r="C247" s="1">
        <v>100</v>
      </c>
      <c r="D247" s="4">
        <v>0.06</v>
      </c>
      <c r="E247" s="5">
        <f t="shared" si="43"/>
        <v>0.55000000000000004</v>
      </c>
      <c r="F247" s="1">
        <v>0</v>
      </c>
      <c r="G247" s="1">
        <f t="shared" si="44"/>
        <v>0.55000000000000004</v>
      </c>
    </row>
    <row r="248" spans="1:7" x14ac:dyDescent="0.2">
      <c r="A248" s="1" t="s">
        <v>99</v>
      </c>
      <c r="B248" s="3">
        <v>46934</v>
      </c>
      <c r="C248" s="1">
        <v>100</v>
      </c>
      <c r="D248" s="4">
        <v>0.06</v>
      </c>
      <c r="E248" s="5">
        <f t="shared" si="43"/>
        <v>0.5</v>
      </c>
      <c r="F248" s="1">
        <v>0</v>
      </c>
      <c r="G248" s="1">
        <f t="shared" si="44"/>
        <v>0.5</v>
      </c>
    </row>
    <row r="249" spans="1:7" x14ac:dyDescent="0.2">
      <c r="A249" s="1" t="s">
        <v>99</v>
      </c>
      <c r="B249" s="3">
        <v>46965</v>
      </c>
      <c r="C249" s="1">
        <v>100</v>
      </c>
      <c r="D249" s="4">
        <v>0.06</v>
      </c>
      <c r="E249" s="5">
        <f t="shared" si="43"/>
        <v>0.5</v>
      </c>
      <c r="F249" s="1">
        <v>0</v>
      </c>
      <c r="G249" s="1">
        <f t="shared" si="44"/>
        <v>0.5</v>
      </c>
    </row>
    <row r="250" spans="1:7" x14ac:dyDescent="0.2">
      <c r="A250" s="1" t="s">
        <v>99</v>
      </c>
      <c r="B250" s="3">
        <v>46996</v>
      </c>
      <c r="C250" s="1">
        <v>100</v>
      </c>
      <c r="D250" s="4">
        <v>0.06</v>
      </c>
      <c r="E250" s="5">
        <f t="shared" si="43"/>
        <v>0.5</v>
      </c>
      <c r="F250" s="1">
        <v>0</v>
      </c>
      <c r="G250" s="1">
        <f t="shared" si="44"/>
        <v>0.5</v>
      </c>
    </row>
    <row r="251" spans="1:7" x14ac:dyDescent="0.2">
      <c r="A251" s="1" t="s">
        <v>99</v>
      </c>
      <c r="B251" s="3">
        <v>47025</v>
      </c>
      <c r="C251" s="1">
        <v>100</v>
      </c>
      <c r="D251" s="4">
        <v>0.06</v>
      </c>
      <c r="E251" s="5">
        <f t="shared" si="43"/>
        <v>0.48333333333333334</v>
      </c>
      <c r="F251" s="1">
        <v>0</v>
      </c>
      <c r="G251" s="1">
        <f t="shared" si="44"/>
        <v>0.48333333333333334</v>
      </c>
    </row>
    <row r="252" spans="1:7" x14ac:dyDescent="0.2">
      <c r="A252" s="1" t="s">
        <v>99</v>
      </c>
      <c r="B252" s="3">
        <v>47057</v>
      </c>
      <c r="C252" s="1">
        <v>100</v>
      </c>
      <c r="D252" s="4">
        <v>0.06</v>
      </c>
      <c r="E252" s="5">
        <f t="shared" si="43"/>
        <v>0.53333333333333333</v>
      </c>
      <c r="F252" s="1">
        <v>0</v>
      </c>
      <c r="G252" s="1">
        <f t="shared" si="44"/>
        <v>0.53333333333333333</v>
      </c>
    </row>
    <row r="253" spans="1:7" x14ac:dyDescent="0.2">
      <c r="A253" s="1" t="s">
        <v>99</v>
      </c>
      <c r="B253" s="3">
        <v>47087</v>
      </c>
      <c r="C253" s="1">
        <v>100</v>
      </c>
      <c r="D253" s="4">
        <v>0.06</v>
      </c>
      <c r="E253" s="5">
        <f t="shared" si="43"/>
        <v>0.5</v>
      </c>
      <c r="F253" s="1">
        <v>0</v>
      </c>
      <c r="G253" s="1">
        <f t="shared" si="44"/>
        <v>0.5</v>
      </c>
    </row>
    <row r="254" spans="1:7" x14ac:dyDescent="0.2">
      <c r="A254" s="1" t="s">
        <v>99</v>
      </c>
      <c r="B254" s="3">
        <v>47116</v>
      </c>
      <c r="C254" s="1">
        <v>100</v>
      </c>
      <c r="D254" s="4">
        <v>0.06</v>
      </c>
      <c r="E254" s="5">
        <f t="shared" si="43"/>
        <v>0.48333333333333334</v>
      </c>
      <c r="F254" s="1">
        <v>0</v>
      </c>
      <c r="G254" s="1">
        <f t="shared" si="44"/>
        <v>0.48333333333333334</v>
      </c>
    </row>
    <row r="255" spans="1:7" x14ac:dyDescent="0.2">
      <c r="A255" s="1" t="s">
        <v>99</v>
      </c>
      <c r="B255" s="3">
        <v>47149</v>
      </c>
      <c r="C255" s="1">
        <v>100</v>
      </c>
      <c r="D255" s="4">
        <v>0.06</v>
      </c>
      <c r="E255" s="5">
        <f t="shared" si="43"/>
        <v>0.53333333333333333</v>
      </c>
      <c r="F255" s="1">
        <v>0</v>
      </c>
      <c r="G255" s="1">
        <f t="shared" si="44"/>
        <v>0.53333333333333333</v>
      </c>
    </row>
    <row r="256" spans="1:7" x14ac:dyDescent="0.2">
      <c r="A256" s="1" t="s">
        <v>99</v>
      </c>
      <c r="B256" s="3">
        <v>47177</v>
      </c>
      <c r="C256" s="1">
        <f>C255-F256</f>
        <v>100</v>
      </c>
      <c r="D256" s="4">
        <v>0.06</v>
      </c>
      <c r="E256" s="5">
        <f t="shared" si="43"/>
        <v>0.46666666666666667</v>
      </c>
      <c r="F256" s="1">
        <v>0</v>
      </c>
      <c r="G256" s="1">
        <f t="shared" si="44"/>
        <v>0.46666666666666667</v>
      </c>
    </row>
    <row r="257" spans="1:7" x14ac:dyDescent="0.2">
      <c r="A257" s="1" t="s">
        <v>99</v>
      </c>
      <c r="B257" s="3">
        <v>47205</v>
      </c>
      <c r="C257" s="1">
        <v>100</v>
      </c>
      <c r="D257" s="4">
        <v>0.06</v>
      </c>
      <c r="E257" s="5">
        <f t="shared" ref="E257:E264" si="45">((D257*C256)/360)*DAYS360(B256,B257)</f>
        <v>0.46666666666666667</v>
      </c>
      <c r="F257" s="1">
        <v>0</v>
      </c>
      <c r="G257" s="1">
        <f t="shared" ref="G257:G264" si="46">F257+E257</f>
        <v>0.46666666666666667</v>
      </c>
    </row>
    <row r="258" spans="1:7" x14ac:dyDescent="0.2">
      <c r="A258" s="1" t="s">
        <v>99</v>
      </c>
      <c r="B258" s="3">
        <v>47238</v>
      </c>
      <c r="C258" s="1">
        <f t="shared" ref="C258" si="47">C257-F258</f>
        <v>100</v>
      </c>
      <c r="D258" s="4">
        <v>0.06</v>
      </c>
      <c r="E258" s="5">
        <f t="shared" si="45"/>
        <v>0.53333333333333333</v>
      </c>
      <c r="F258" s="1">
        <v>0</v>
      </c>
      <c r="G258" s="1">
        <f t="shared" si="46"/>
        <v>0.53333333333333333</v>
      </c>
    </row>
    <row r="259" spans="1:7" x14ac:dyDescent="0.2">
      <c r="A259" s="1" t="s">
        <v>99</v>
      </c>
      <c r="B259" s="3">
        <v>47269</v>
      </c>
      <c r="C259" s="1">
        <v>100</v>
      </c>
      <c r="D259" s="4">
        <v>0.06</v>
      </c>
      <c r="E259" s="5">
        <f t="shared" si="45"/>
        <v>0.5</v>
      </c>
      <c r="F259" s="1">
        <v>0</v>
      </c>
      <c r="G259" s="1">
        <f t="shared" si="46"/>
        <v>0.5</v>
      </c>
    </row>
    <row r="260" spans="1:7" x14ac:dyDescent="0.2">
      <c r="A260" s="1" t="s">
        <v>99</v>
      </c>
      <c r="B260" s="3">
        <v>47298</v>
      </c>
      <c r="C260" s="1">
        <f t="shared" ref="C260" si="48">C259-F260</f>
        <v>100</v>
      </c>
      <c r="D260" s="4">
        <v>0.06</v>
      </c>
      <c r="E260" s="5">
        <f t="shared" si="45"/>
        <v>0.48333333333333334</v>
      </c>
      <c r="F260" s="1">
        <v>0</v>
      </c>
      <c r="G260" s="1">
        <f t="shared" si="46"/>
        <v>0.48333333333333334</v>
      </c>
    </row>
    <row r="261" spans="1:7" x14ac:dyDescent="0.2">
      <c r="A261" s="1" t="s">
        <v>99</v>
      </c>
      <c r="B261" s="3">
        <v>47330</v>
      </c>
      <c r="C261" s="1">
        <v>100</v>
      </c>
      <c r="D261" s="4">
        <v>0.06</v>
      </c>
      <c r="E261" s="5">
        <f t="shared" si="45"/>
        <v>0.53333333333333333</v>
      </c>
      <c r="F261" s="1">
        <v>0</v>
      </c>
      <c r="G261" s="1">
        <f t="shared" si="46"/>
        <v>0.53333333333333333</v>
      </c>
    </row>
    <row r="262" spans="1:7" x14ac:dyDescent="0.2">
      <c r="A262" s="1" t="s">
        <v>99</v>
      </c>
      <c r="B262" s="3">
        <v>47361</v>
      </c>
      <c r="C262" s="1">
        <f t="shared" ref="C262" si="49">C261-F262</f>
        <v>100</v>
      </c>
      <c r="D262" s="4">
        <v>0.06</v>
      </c>
      <c r="E262" s="5">
        <f t="shared" si="45"/>
        <v>0.5</v>
      </c>
      <c r="F262" s="1">
        <v>0</v>
      </c>
      <c r="G262" s="1">
        <f t="shared" si="46"/>
        <v>0.5</v>
      </c>
    </row>
    <row r="263" spans="1:7" x14ac:dyDescent="0.2">
      <c r="A263" s="1" t="s">
        <v>99</v>
      </c>
      <c r="B263" s="3">
        <v>47389</v>
      </c>
      <c r="C263" s="1">
        <v>100</v>
      </c>
      <c r="D263" s="4">
        <v>0.06</v>
      </c>
      <c r="E263" s="5">
        <f t="shared" si="45"/>
        <v>0.46666666666666667</v>
      </c>
      <c r="F263" s="1">
        <v>0</v>
      </c>
      <c r="G263" s="1">
        <f t="shared" si="46"/>
        <v>0.46666666666666667</v>
      </c>
    </row>
    <row r="264" spans="1:7" x14ac:dyDescent="0.2">
      <c r="A264" s="1" t="s">
        <v>99</v>
      </c>
      <c r="B264" s="3">
        <v>47422</v>
      </c>
      <c r="C264" s="1">
        <f t="shared" ref="C264" si="50">C263-F264</f>
        <v>0</v>
      </c>
      <c r="D264" s="4">
        <v>0.06</v>
      </c>
      <c r="E264" s="5">
        <f t="shared" si="45"/>
        <v>0.55000000000000004</v>
      </c>
      <c r="F264" s="1">
        <v>100</v>
      </c>
      <c r="G264" s="1">
        <f t="shared" si="46"/>
        <v>100.55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7BD7-942D-4EB2-B02C-C54B81EE4FA2}">
  <dimension ref="A1:G210"/>
  <sheetViews>
    <sheetView topLeftCell="A73" workbookViewId="0">
      <selection activeCell="D92" sqref="D92"/>
    </sheetView>
  </sheetViews>
  <sheetFormatPr baseColWidth="10" defaultRowHeight="15" x14ac:dyDescent="0.2"/>
  <cols>
    <col min="1" max="7" width="14.6640625" customWidth="1"/>
  </cols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68</v>
      </c>
      <c r="B2" s="3">
        <v>44078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68</v>
      </c>
      <c r="B3" s="3">
        <v>44386</v>
      </c>
      <c r="C3" s="1">
        <v>100</v>
      </c>
      <c r="D3" s="4">
        <v>0.01</v>
      </c>
      <c r="E3" s="5">
        <f t="shared" ref="E3:E19" si="0">((D3*C2)/360)*DAYS360(B2,B3)</f>
        <v>0.84722222222222221</v>
      </c>
      <c r="F3" s="1">
        <v>0</v>
      </c>
      <c r="G3" s="1">
        <f t="shared" ref="G3:G19" si="1">F3+E3</f>
        <v>0.84722222222222221</v>
      </c>
    </row>
    <row r="4" spans="1:7" x14ac:dyDescent="0.2">
      <c r="A4" s="1" t="s">
        <v>68</v>
      </c>
      <c r="B4" s="3">
        <v>44570</v>
      </c>
      <c r="C4" s="1">
        <v>100</v>
      </c>
      <c r="D4" s="4">
        <v>0.01</v>
      </c>
      <c r="E4" s="5">
        <f t="shared" si="0"/>
        <v>0.5</v>
      </c>
      <c r="F4" s="1">
        <v>0</v>
      </c>
      <c r="G4" s="1">
        <f t="shared" si="1"/>
        <v>0.5</v>
      </c>
    </row>
    <row r="5" spans="1:7" x14ac:dyDescent="0.2">
      <c r="A5" s="1" t="s">
        <v>68</v>
      </c>
      <c r="B5" s="3">
        <v>44751</v>
      </c>
      <c r="C5" s="1">
        <v>100</v>
      </c>
      <c r="D5" s="4">
        <v>0.01</v>
      </c>
      <c r="E5" s="5">
        <f t="shared" si="0"/>
        <v>0.5</v>
      </c>
      <c r="F5" s="1">
        <v>0</v>
      </c>
      <c r="G5" s="1">
        <f t="shared" si="1"/>
        <v>0.5</v>
      </c>
    </row>
    <row r="6" spans="1:7" x14ac:dyDescent="0.2">
      <c r="A6" s="1" t="s">
        <v>68</v>
      </c>
      <c r="B6" s="3">
        <v>44935</v>
      </c>
      <c r="C6" s="1">
        <v>100</v>
      </c>
      <c r="D6" s="4">
        <v>0.01</v>
      </c>
      <c r="E6" s="5">
        <f t="shared" si="0"/>
        <v>0.5</v>
      </c>
      <c r="F6" s="1">
        <v>0</v>
      </c>
      <c r="G6" s="1">
        <f t="shared" si="1"/>
        <v>0.5</v>
      </c>
    </row>
    <row r="7" spans="1:7" x14ac:dyDescent="0.2">
      <c r="A7" s="1" t="s">
        <v>68</v>
      </c>
      <c r="B7" s="3">
        <v>45116</v>
      </c>
      <c r="C7" s="1">
        <v>100</v>
      </c>
      <c r="D7" s="4">
        <v>0.01</v>
      </c>
      <c r="E7" s="5">
        <f t="shared" si="0"/>
        <v>0.5</v>
      </c>
      <c r="F7" s="1">
        <v>0</v>
      </c>
      <c r="G7" s="1">
        <f t="shared" si="1"/>
        <v>0.5</v>
      </c>
    </row>
    <row r="8" spans="1:7" x14ac:dyDescent="0.2">
      <c r="A8" s="1" t="s">
        <v>68</v>
      </c>
      <c r="B8" s="3">
        <v>45300</v>
      </c>
      <c r="C8" s="1">
        <v>100</v>
      </c>
      <c r="D8" s="4">
        <v>0.01</v>
      </c>
      <c r="E8" s="5">
        <f t="shared" si="0"/>
        <v>0.5</v>
      </c>
      <c r="F8" s="1">
        <v>0</v>
      </c>
      <c r="G8" s="1">
        <f t="shared" si="1"/>
        <v>0.5</v>
      </c>
    </row>
    <row r="9" spans="1:7" x14ac:dyDescent="0.2">
      <c r="A9" s="1" t="s">
        <v>68</v>
      </c>
      <c r="B9" s="3">
        <v>45482</v>
      </c>
      <c r="C9" s="1">
        <v>100</v>
      </c>
      <c r="D9" s="4">
        <v>0.01</v>
      </c>
      <c r="E9" s="5">
        <f t="shared" si="0"/>
        <v>0.5</v>
      </c>
      <c r="F9" s="1">
        <v>0</v>
      </c>
      <c r="G9" s="1">
        <f t="shared" si="1"/>
        <v>0.5</v>
      </c>
    </row>
    <row r="10" spans="1:7" x14ac:dyDescent="0.2">
      <c r="A10" s="1" t="s">
        <v>68</v>
      </c>
      <c r="B10" s="3">
        <v>45666</v>
      </c>
      <c r="C10" s="1">
        <f>C9-F10</f>
        <v>90</v>
      </c>
      <c r="D10" s="4">
        <v>0.01</v>
      </c>
      <c r="E10" s="5">
        <f t="shared" si="0"/>
        <v>0.5</v>
      </c>
      <c r="F10" s="1">
        <v>10</v>
      </c>
      <c r="G10" s="1">
        <f t="shared" si="1"/>
        <v>10.5</v>
      </c>
    </row>
    <row r="11" spans="1:7" x14ac:dyDescent="0.2">
      <c r="A11" s="1" t="s">
        <v>68</v>
      </c>
      <c r="B11" s="3">
        <v>45847</v>
      </c>
      <c r="C11" s="1">
        <f t="shared" ref="C11:C19" si="2">C10-F11</f>
        <v>80</v>
      </c>
      <c r="D11" s="4">
        <v>0.01</v>
      </c>
      <c r="E11" s="5">
        <f t="shared" si="0"/>
        <v>0.45</v>
      </c>
      <c r="F11" s="1">
        <v>10</v>
      </c>
      <c r="G11" s="1">
        <f t="shared" si="1"/>
        <v>10.45</v>
      </c>
    </row>
    <row r="12" spans="1:7" x14ac:dyDescent="0.2">
      <c r="A12" s="1" t="s">
        <v>68</v>
      </c>
      <c r="B12" s="3">
        <v>46031</v>
      </c>
      <c r="C12" s="1">
        <f t="shared" si="2"/>
        <v>70</v>
      </c>
      <c r="D12" s="4">
        <v>0.01</v>
      </c>
      <c r="E12" s="5">
        <f t="shared" si="0"/>
        <v>0.4</v>
      </c>
      <c r="F12" s="1">
        <v>10</v>
      </c>
      <c r="G12" s="1">
        <f t="shared" si="1"/>
        <v>10.4</v>
      </c>
    </row>
    <row r="13" spans="1:7" x14ac:dyDescent="0.2">
      <c r="A13" s="1" t="s">
        <v>68</v>
      </c>
      <c r="B13" s="3">
        <v>46212</v>
      </c>
      <c r="C13" s="1">
        <f t="shared" si="2"/>
        <v>60</v>
      </c>
      <c r="D13" s="4">
        <v>0.01</v>
      </c>
      <c r="E13" s="5">
        <f t="shared" si="0"/>
        <v>0.35000000000000003</v>
      </c>
      <c r="F13" s="1">
        <v>10</v>
      </c>
      <c r="G13" s="1">
        <f t="shared" si="1"/>
        <v>10.35</v>
      </c>
    </row>
    <row r="14" spans="1:7" x14ac:dyDescent="0.2">
      <c r="A14" s="1" t="s">
        <v>68</v>
      </c>
      <c r="B14" s="3">
        <v>46396</v>
      </c>
      <c r="C14" s="1">
        <f t="shared" si="2"/>
        <v>50</v>
      </c>
      <c r="D14" s="4">
        <v>0.01</v>
      </c>
      <c r="E14" s="5">
        <f t="shared" si="0"/>
        <v>0.3</v>
      </c>
      <c r="F14" s="1">
        <v>10</v>
      </c>
      <c r="G14" s="1">
        <f t="shared" si="1"/>
        <v>10.3</v>
      </c>
    </row>
    <row r="15" spans="1:7" x14ac:dyDescent="0.2">
      <c r="A15" s="1" t="s">
        <v>68</v>
      </c>
      <c r="B15" s="3">
        <v>46577</v>
      </c>
      <c r="C15" s="1">
        <f t="shared" si="2"/>
        <v>40</v>
      </c>
      <c r="D15" s="4">
        <v>0.01</v>
      </c>
      <c r="E15" s="5">
        <f t="shared" si="0"/>
        <v>0.25</v>
      </c>
      <c r="F15" s="1">
        <v>10</v>
      </c>
      <c r="G15" s="1">
        <f t="shared" si="1"/>
        <v>10.25</v>
      </c>
    </row>
    <row r="16" spans="1:7" x14ac:dyDescent="0.2">
      <c r="A16" s="1" t="s">
        <v>68</v>
      </c>
      <c r="B16" s="3">
        <v>46761</v>
      </c>
      <c r="C16" s="1">
        <f t="shared" si="2"/>
        <v>30</v>
      </c>
      <c r="D16" s="4">
        <v>0.01</v>
      </c>
      <c r="E16" s="5">
        <f t="shared" si="0"/>
        <v>0.2</v>
      </c>
      <c r="F16" s="1">
        <v>10</v>
      </c>
      <c r="G16" s="1">
        <f t="shared" si="1"/>
        <v>10.199999999999999</v>
      </c>
    </row>
    <row r="17" spans="1:7" x14ac:dyDescent="0.2">
      <c r="A17" s="1" t="s">
        <v>68</v>
      </c>
      <c r="B17" s="3">
        <v>46943</v>
      </c>
      <c r="C17" s="1">
        <f t="shared" si="2"/>
        <v>20</v>
      </c>
      <c r="D17" s="4">
        <v>0.01</v>
      </c>
      <c r="E17" s="5">
        <f t="shared" si="0"/>
        <v>0.15</v>
      </c>
      <c r="F17" s="1">
        <v>10</v>
      </c>
      <c r="G17" s="1">
        <f t="shared" si="1"/>
        <v>10.15</v>
      </c>
    </row>
    <row r="18" spans="1:7" x14ac:dyDescent="0.2">
      <c r="A18" s="1" t="s">
        <v>68</v>
      </c>
      <c r="B18" s="3">
        <v>47127</v>
      </c>
      <c r="C18" s="1">
        <f t="shared" si="2"/>
        <v>10</v>
      </c>
      <c r="D18" s="4">
        <v>0.01</v>
      </c>
      <c r="E18" s="5">
        <f t="shared" si="0"/>
        <v>0.1</v>
      </c>
      <c r="F18" s="1">
        <v>10</v>
      </c>
      <c r="G18" s="1">
        <f t="shared" si="1"/>
        <v>10.1</v>
      </c>
    </row>
    <row r="19" spans="1:7" x14ac:dyDescent="0.2">
      <c r="A19" s="1" t="s">
        <v>68</v>
      </c>
      <c r="B19" s="3">
        <v>47308</v>
      </c>
      <c r="C19" s="1">
        <f t="shared" si="2"/>
        <v>0</v>
      </c>
      <c r="D19" s="4">
        <v>0.01</v>
      </c>
      <c r="E19" s="5">
        <f t="shared" si="0"/>
        <v>0.05</v>
      </c>
      <c r="F19" s="1">
        <v>10</v>
      </c>
      <c r="G19" s="1">
        <f t="shared" si="1"/>
        <v>10.050000000000001</v>
      </c>
    </row>
    <row r="21" spans="1:7" x14ac:dyDescent="0.2">
      <c r="A21" s="2" t="s">
        <v>0</v>
      </c>
      <c r="B21" s="2" t="s">
        <v>10</v>
      </c>
      <c r="C21" s="2" t="s">
        <v>11</v>
      </c>
      <c r="D21" s="2" t="s">
        <v>14</v>
      </c>
      <c r="E21" s="2" t="s">
        <v>12</v>
      </c>
      <c r="F21" s="2" t="s">
        <v>13</v>
      </c>
      <c r="G21" s="2" t="s">
        <v>15</v>
      </c>
    </row>
    <row r="22" spans="1:7" x14ac:dyDescent="0.2">
      <c r="A22" s="1" t="s">
        <v>69</v>
      </c>
      <c r="B22" s="3">
        <v>44078</v>
      </c>
      <c r="C22" s="1">
        <v>100</v>
      </c>
      <c r="D22" s="1">
        <v>0</v>
      </c>
      <c r="E22" s="1">
        <v>0</v>
      </c>
      <c r="F22" s="1">
        <v>0</v>
      </c>
      <c r="G22" s="1">
        <f>F22+E22</f>
        <v>0</v>
      </c>
    </row>
    <row r="23" spans="1:7" x14ac:dyDescent="0.2">
      <c r="A23" s="1" t="s">
        <v>69</v>
      </c>
      <c r="B23" s="3">
        <v>44386</v>
      </c>
      <c r="C23" s="1">
        <v>100</v>
      </c>
      <c r="D23" s="4">
        <v>1.25E-3</v>
      </c>
      <c r="E23" s="5">
        <f t="shared" ref="E23:E41" si="3">((D23*C22)/360)*DAYS360(B22,B23)</f>
        <v>0.10590277777777778</v>
      </c>
      <c r="F23" s="1">
        <v>0</v>
      </c>
      <c r="G23" s="1">
        <f t="shared" ref="G23:G41" si="4">F23+E23</f>
        <v>0.10590277777777778</v>
      </c>
    </row>
    <row r="24" spans="1:7" x14ac:dyDescent="0.2">
      <c r="A24" s="1" t="s">
        <v>69</v>
      </c>
      <c r="B24" s="3">
        <v>44570</v>
      </c>
      <c r="C24" s="1">
        <v>100</v>
      </c>
      <c r="D24" s="4">
        <v>5.0000000000000001E-3</v>
      </c>
      <c r="E24" s="5">
        <f t="shared" si="3"/>
        <v>0.25</v>
      </c>
      <c r="F24" s="1">
        <v>0</v>
      </c>
      <c r="G24" s="1">
        <f t="shared" si="4"/>
        <v>0.25</v>
      </c>
    </row>
    <row r="25" spans="1:7" x14ac:dyDescent="0.2">
      <c r="A25" s="1" t="s">
        <v>69</v>
      </c>
      <c r="B25" s="3">
        <v>44751</v>
      </c>
      <c r="C25" s="1">
        <v>100</v>
      </c>
      <c r="D25" s="4">
        <v>5.0000000000000001E-3</v>
      </c>
      <c r="E25" s="5">
        <f t="shared" si="3"/>
        <v>0.25</v>
      </c>
      <c r="F25" s="1">
        <v>0</v>
      </c>
      <c r="G25" s="1">
        <f t="shared" si="4"/>
        <v>0.25</v>
      </c>
    </row>
    <row r="26" spans="1:7" x14ac:dyDescent="0.2">
      <c r="A26" s="1" t="s">
        <v>69</v>
      </c>
      <c r="B26" s="3">
        <v>44935</v>
      </c>
      <c r="C26" s="1">
        <v>100</v>
      </c>
      <c r="D26" s="4">
        <v>5.0000000000000001E-3</v>
      </c>
      <c r="E26" s="5">
        <f t="shared" si="3"/>
        <v>0.25</v>
      </c>
      <c r="F26" s="1">
        <v>0</v>
      </c>
      <c r="G26" s="1">
        <f t="shared" si="4"/>
        <v>0.25</v>
      </c>
    </row>
    <row r="27" spans="1:7" x14ac:dyDescent="0.2">
      <c r="A27" s="1" t="s">
        <v>69</v>
      </c>
      <c r="B27" s="3">
        <v>45116</v>
      </c>
      <c r="C27" s="1">
        <v>100</v>
      </c>
      <c r="D27" s="4">
        <v>5.0000000000000001E-3</v>
      </c>
      <c r="E27" s="5">
        <f t="shared" si="3"/>
        <v>0.25</v>
      </c>
      <c r="F27" s="1">
        <v>0</v>
      </c>
      <c r="G27" s="1">
        <f t="shared" si="4"/>
        <v>0.25</v>
      </c>
    </row>
    <row r="28" spans="1:7" x14ac:dyDescent="0.2">
      <c r="A28" s="1" t="s">
        <v>69</v>
      </c>
      <c r="B28" s="3">
        <v>45300</v>
      </c>
      <c r="C28" s="1">
        <v>100</v>
      </c>
      <c r="D28" s="4">
        <v>7.4999999999999997E-3</v>
      </c>
      <c r="E28" s="5">
        <f t="shared" si="3"/>
        <v>0.375</v>
      </c>
      <c r="F28" s="1">
        <v>0</v>
      </c>
      <c r="G28" s="1">
        <f t="shared" si="4"/>
        <v>0.375</v>
      </c>
    </row>
    <row r="29" spans="1:7" x14ac:dyDescent="0.2">
      <c r="A29" s="1" t="s">
        <v>69</v>
      </c>
      <c r="B29" s="3">
        <v>45482</v>
      </c>
      <c r="C29" s="1">
        <f>C28-F29</f>
        <v>96</v>
      </c>
      <c r="D29" s="4">
        <v>7.4999999999999997E-3</v>
      </c>
      <c r="E29" s="5">
        <f t="shared" si="3"/>
        <v>0.375</v>
      </c>
      <c r="F29" s="1">
        <v>4</v>
      </c>
      <c r="G29" s="1">
        <f t="shared" si="4"/>
        <v>4.375</v>
      </c>
    </row>
    <row r="30" spans="1:7" x14ac:dyDescent="0.2">
      <c r="A30" s="1" t="s">
        <v>69</v>
      </c>
      <c r="B30" s="3">
        <v>45666</v>
      </c>
      <c r="C30" s="1">
        <f t="shared" ref="C30:C41" si="5">C29-F30</f>
        <v>88</v>
      </c>
      <c r="D30" s="4">
        <v>7.4999999999999997E-3</v>
      </c>
      <c r="E30" s="5">
        <f t="shared" si="3"/>
        <v>0.36</v>
      </c>
      <c r="F30" s="1">
        <v>8</v>
      </c>
      <c r="G30" s="1">
        <f t="shared" si="4"/>
        <v>8.36</v>
      </c>
    </row>
    <row r="31" spans="1:7" x14ac:dyDescent="0.2">
      <c r="A31" s="1" t="s">
        <v>69</v>
      </c>
      <c r="B31" s="3">
        <v>45847</v>
      </c>
      <c r="C31" s="1">
        <f t="shared" si="5"/>
        <v>80</v>
      </c>
      <c r="D31" s="4">
        <v>7.4999999999999997E-3</v>
      </c>
      <c r="E31" s="5">
        <f t="shared" si="3"/>
        <v>0.32999999999999996</v>
      </c>
      <c r="F31" s="1">
        <v>8</v>
      </c>
      <c r="G31" s="1">
        <f t="shared" si="4"/>
        <v>8.33</v>
      </c>
    </row>
    <row r="32" spans="1:7" x14ac:dyDescent="0.2">
      <c r="A32" s="1" t="s">
        <v>69</v>
      </c>
      <c r="B32" s="3">
        <v>46031</v>
      </c>
      <c r="C32" s="1">
        <f t="shared" si="5"/>
        <v>72</v>
      </c>
      <c r="D32" s="4">
        <v>7.4999999999999997E-3</v>
      </c>
      <c r="E32" s="5">
        <f t="shared" si="3"/>
        <v>0.3</v>
      </c>
      <c r="F32" s="1">
        <v>8</v>
      </c>
      <c r="G32" s="1">
        <f t="shared" si="4"/>
        <v>8.3000000000000007</v>
      </c>
    </row>
    <row r="33" spans="1:7" x14ac:dyDescent="0.2">
      <c r="A33" s="1" t="s">
        <v>69</v>
      </c>
      <c r="B33" s="3">
        <v>46212</v>
      </c>
      <c r="C33" s="1">
        <f t="shared" si="5"/>
        <v>64</v>
      </c>
      <c r="D33" s="4">
        <v>7.4999999999999997E-3</v>
      </c>
      <c r="E33" s="5">
        <f t="shared" si="3"/>
        <v>0.27</v>
      </c>
      <c r="F33" s="1">
        <v>8</v>
      </c>
      <c r="G33" s="1">
        <f t="shared" si="4"/>
        <v>8.27</v>
      </c>
    </row>
    <row r="34" spans="1:7" x14ac:dyDescent="0.2">
      <c r="A34" s="1" t="s">
        <v>69</v>
      </c>
      <c r="B34" s="3">
        <v>46396</v>
      </c>
      <c r="C34" s="1">
        <f t="shared" si="5"/>
        <v>56</v>
      </c>
      <c r="D34" s="4">
        <v>7.4999999999999997E-3</v>
      </c>
      <c r="E34" s="5">
        <f t="shared" si="3"/>
        <v>0.24</v>
      </c>
      <c r="F34" s="1">
        <v>8</v>
      </c>
      <c r="G34" s="1">
        <f t="shared" si="4"/>
        <v>8.24</v>
      </c>
    </row>
    <row r="35" spans="1:7" x14ac:dyDescent="0.2">
      <c r="A35" s="1" t="s">
        <v>69</v>
      </c>
      <c r="B35" s="3">
        <v>46577</v>
      </c>
      <c r="C35" s="1">
        <f t="shared" si="5"/>
        <v>48</v>
      </c>
      <c r="D35" s="4">
        <v>7.4999999999999997E-3</v>
      </c>
      <c r="E35" s="5">
        <f t="shared" si="3"/>
        <v>0.20999999999999996</v>
      </c>
      <c r="F35" s="1">
        <v>8</v>
      </c>
      <c r="G35" s="1">
        <f t="shared" si="4"/>
        <v>8.2100000000000009</v>
      </c>
    </row>
    <row r="36" spans="1:7" x14ac:dyDescent="0.2">
      <c r="A36" s="1" t="s">
        <v>69</v>
      </c>
      <c r="B36" s="3">
        <v>46761</v>
      </c>
      <c r="C36" s="1">
        <f t="shared" si="5"/>
        <v>40</v>
      </c>
      <c r="D36" s="4">
        <v>1.7500000000000002E-2</v>
      </c>
      <c r="E36" s="5">
        <f t="shared" si="3"/>
        <v>0.42000000000000004</v>
      </c>
      <c r="F36" s="1">
        <v>8</v>
      </c>
      <c r="G36" s="1">
        <f t="shared" si="4"/>
        <v>8.42</v>
      </c>
    </row>
    <row r="37" spans="1:7" x14ac:dyDescent="0.2">
      <c r="A37" s="1" t="s">
        <v>69</v>
      </c>
      <c r="B37" s="3">
        <v>46943</v>
      </c>
      <c r="C37" s="1">
        <f t="shared" si="5"/>
        <v>32</v>
      </c>
      <c r="D37" s="4">
        <v>1.7500000000000002E-2</v>
      </c>
      <c r="E37" s="5">
        <f t="shared" si="3"/>
        <v>0.35000000000000003</v>
      </c>
      <c r="F37" s="1">
        <v>8</v>
      </c>
      <c r="G37" s="1">
        <f t="shared" si="4"/>
        <v>8.35</v>
      </c>
    </row>
    <row r="38" spans="1:7" x14ac:dyDescent="0.2">
      <c r="A38" s="1" t="s">
        <v>69</v>
      </c>
      <c r="B38" s="3">
        <v>47127</v>
      </c>
      <c r="C38" s="1">
        <f t="shared" si="5"/>
        <v>24</v>
      </c>
      <c r="D38" s="4">
        <v>1.7500000000000002E-2</v>
      </c>
      <c r="E38" s="5">
        <f t="shared" si="3"/>
        <v>0.28000000000000003</v>
      </c>
      <c r="F38" s="1">
        <v>8</v>
      </c>
      <c r="G38" s="1">
        <f t="shared" si="4"/>
        <v>8.2799999999999994</v>
      </c>
    </row>
    <row r="39" spans="1:7" x14ac:dyDescent="0.2">
      <c r="A39" s="1" t="s">
        <v>69</v>
      </c>
      <c r="B39" s="3">
        <v>47308</v>
      </c>
      <c r="C39" s="1">
        <f t="shared" si="5"/>
        <v>16</v>
      </c>
      <c r="D39" s="4">
        <v>1.7500000000000002E-2</v>
      </c>
      <c r="E39" s="5">
        <f t="shared" si="3"/>
        <v>0.21000000000000002</v>
      </c>
      <c r="F39" s="1">
        <v>8</v>
      </c>
      <c r="G39" s="1">
        <f t="shared" si="4"/>
        <v>8.2100000000000009</v>
      </c>
    </row>
    <row r="40" spans="1:7" x14ac:dyDescent="0.2">
      <c r="A40" s="1" t="s">
        <v>69</v>
      </c>
      <c r="B40" s="3">
        <v>47492</v>
      </c>
      <c r="C40" s="1">
        <f t="shared" si="5"/>
        <v>8</v>
      </c>
      <c r="D40" s="4">
        <v>1.7500000000000002E-2</v>
      </c>
      <c r="E40" s="5">
        <f t="shared" si="3"/>
        <v>0.14000000000000001</v>
      </c>
      <c r="F40" s="1">
        <v>8</v>
      </c>
      <c r="G40" s="1">
        <f t="shared" si="4"/>
        <v>8.14</v>
      </c>
    </row>
    <row r="41" spans="1:7" x14ac:dyDescent="0.2">
      <c r="A41" s="1" t="s">
        <v>69</v>
      </c>
      <c r="B41" s="3">
        <v>47673</v>
      </c>
      <c r="C41" s="1">
        <f t="shared" si="5"/>
        <v>0</v>
      </c>
      <c r="D41" s="4">
        <v>1.7500000000000002E-2</v>
      </c>
      <c r="E41" s="5">
        <f t="shared" si="3"/>
        <v>7.0000000000000007E-2</v>
      </c>
      <c r="F41" s="1">
        <v>8</v>
      </c>
      <c r="G41" s="1">
        <f t="shared" si="4"/>
        <v>8.07</v>
      </c>
    </row>
    <row r="43" spans="1:7" x14ac:dyDescent="0.2">
      <c r="A43" s="2" t="s">
        <v>0</v>
      </c>
      <c r="B43" s="2" t="s">
        <v>10</v>
      </c>
      <c r="C43" s="2" t="s">
        <v>11</v>
      </c>
      <c r="D43" s="2" t="s">
        <v>14</v>
      </c>
      <c r="E43" s="2" t="s">
        <v>12</v>
      </c>
      <c r="F43" s="2" t="s">
        <v>13</v>
      </c>
      <c r="G43" s="2" t="s">
        <v>15</v>
      </c>
    </row>
    <row r="44" spans="1:7" x14ac:dyDescent="0.2">
      <c r="A44" s="1" t="s">
        <v>70</v>
      </c>
      <c r="B44" s="3">
        <v>44078</v>
      </c>
      <c r="C44" s="1">
        <v>100</v>
      </c>
      <c r="D44" s="1">
        <v>0</v>
      </c>
      <c r="E44" s="1">
        <v>0</v>
      </c>
      <c r="F44" s="1">
        <v>0</v>
      </c>
      <c r="G44" s="1">
        <f>F44+E44</f>
        <v>0</v>
      </c>
    </row>
    <row r="45" spans="1:7" x14ac:dyDescent="0.2">
      <c r="A45" s="1" t="s">
        <v>70</v>
      </c>
      <c r="B45" s="3">
        <v>44386</v>
      </c>
      <c r="C45" s="1">
        <v>100</v>
      </c>
      <c r="D45" s="4">
        <v>1.25E-3</v>
      </c>
      <c r="E45" s="5">
        <f t="shared" ref="E45:E73" si="6">((D45*C44)/360)*DAYS360(B44,B45)</f>
        <v>0.10590277777777778</v>
      </c>
      <c r="F45" s="1">
        <v>0</v>
      </c>
      <c r="G45" s="1">
        <f t="shared" ref="G45:G73" si="7">F45+E45</f>
        <v>0.10590277777777778</v>
      </c>
    </row>
    <row r="46" spans="1:7" x14ac:dyDescent="0.2">
      <c r="A46" s="1" t="s">
        <v>70</v>
      </c>
      <c r="B46" s="3">
        <v>44570</v>
      </c>
      <c r="C46" s="1">
        <v>100</v>
      </c>
      <c r="D46" s="4">
        <v>1.125E-2</v>
      </c>
      <c r="E46" s="5">
        <f t="shared" si="6"/>
        <v>0.5625</v>
      </c>
      <c r="F46" s="1">
        <v>0</v>
      </c>
      <c r="G46" s="1">
        <f t="shared" si="7"/>
        <v>0.5625</v>
      </c>
    </row>
    <row r="47" spans="1:7" x14ac:dyDescent="0.2">
      <c r="A47" s="1" t="s">
        <v>70</v>
      </c>
      <c r="B47" s="3">
        <v>44751</v>
      </c>
      <c r="C47" s="1">
        <v>100</v>
      </c>
      <c r="D47" s="4">
        <v>1.125E-2</v>
      </c>
      <c r="E47" s="5">
        <f t="shared" si="6"/>
        <v>0.5625</v>
      </c>
      <c r="F47" s="1">
        <v>0</v>
      </c>
      <c r="G47" s="1">
        <f t="shared" si="7"/>
        <v>0.5625</v>
      </c>
    </row>
    <row r="48" spans="1:7" x14ac:dyDescent="0.2">
      <c r="A48" s="1" t="s">
        <v>70</v>
      </c>
      <c r="B48" s="3">
        <v>44935</v>
      </c>
      <c r="C48" s="1">
        <v>100</v>
      </c>
      <c r="D48" s="4">
        <v>1.4999999999999999E-2</v>
      </c>
      <c r="E48" s="5">
        <f t="shared" si="6"/>
        <v>0.75</v>
      </c>
      <c r="F48" s="1">
        <v>0</v>
      </c>
      <c r="G48" s="1">
        <f t="shared" si="7"/>
        <v>0.75</v>
      </c>
    </row>
    <row r="49" spans="1:7" x14ac:dyDescent="0.2">
      <c r="A49" s="1" t="s">
        <v>70</v>
      </c>
      <c r="B49" s="3">
        <v>45116</v>
      </c>
      <c r="C49" s="1">
        <v>100</v>
      </c>
      <c r="D49" s="4">
        <v>1.4999999999999999E-2</v>
      </c>
      <c r="E49" s="5">
        <f t="shared" si="6"/>
        <v>0.75</v>
      </c>
      <c r="F49" s="1">
        <v>0</v>
      </c>
      <c r="G49" s="1">
        <f t="shared" si="7"/>
        <v>0.75</v>
      </c>
    </row>
    <row r="50" spans="1:7" x14ac:dyDescent="0.2">
      <c r="A50" s="1" t="s">
        <v>70</v>
      </c>
      <c r="B50" s="3">
        <v>45300</v>
      </c>
      <c r="C50" s="1">
        <v>100</v>
      </c>
      <c r="D50" s="4">
        <v>3.6249999999999998E-2</v>
      </c>
      <c r="E50" s="5">
        <f t="shared" si="6"/>
        <v>1.8124999999999998</v>
      </c>
      <c r="F50" s="1">
        <v>0</v>
      </c>
      <c r="G50" s="1">
        <f t="shared" si="7"/>
        <v>1.8124999999999998</v>
      </c>
    </row>
    <row r="51" spans="1:7" x14ac:dyDescent="0.2">
      <c r="A51" s="1" t="s">
        <v>70</v>
      </c>
      <c r="B51" s="3">
        <v>45482</v>
      </c>
      <c r="C51" s="1">
        <v>100</v>
      </c>
      <c r="D51" s="4">
        <v>3.6249999999999998E-2</v>
      </c>
      <c r="E51" s="5">
        <f t="shared" si="6"/>
        <v>1.8124999999999998</v>
      </c>
      <c r="F51" s="1">
        <v>0</v>
      </c>
      <c r="G51" s="1">
        <f t="shared" si="7"/>
        <v>1.8124999999999998</v>
      </c>
    </row>
    <row r="52" spans="1:7" x14ac:dyDescent="0.2">
      <c r="A52" s="1" t="s">
        <v>70</v>
      </c>
      <c r="B52" s="3">
        <v>45666</v>
      </c>
      <c r="C52" s="1">
        <v>100</v>
      </c>
      <c r="D52" s="4">
        <v>4.1250000000000002E-2</v>
      </c>
      <c r="E52" s="5">
        <f t="shared" si="6"/>
        <v>2.0625</v>
      </c>
      <c r="F52" s="1">
        <v>0</v>
      </c>
      <c r="G52" s="1">
        <f t="shared" si="7"/>
        <v>2.0625</v>
      </c>
    </row>
    <row r="53" spans="1:7" x14ac:dyDescent="0.2">
      <c r="A53" s="1" t="s">
        <v>70</v>
      </c>
      <c r="B53" s="3">
        <v>45847</v>
      </c>
      <c r="C53" s="1">
        <v>100</v>
      </c>
      <c r="D53" s="4">
        <v>4.1250000000000002E-2</v>
      </c>
      <c r="E53" s="5">
        <f t="shared" si="6"/>
        <v>2.0625</v>
      </c>
      <c r="F53" s="1">
        <v>0</v>
      </c>
      <c r="G53" s="1">
        <f t="shared" si="7"/>
        <v>2.0625</v>
      </c>
    </row>
    <row r="54" spans="1:7" x14ac:dyDescent="0.2">
      <c r="A54" s="1" t="s">
        <v>70</v>
      </c>
      <c r="B54" s="3">
        <v>46031</v>
      </c>
      <c r="C54" s="1">
        <v>100</v>
      </c>
      <c r="D54" s="4">
        <v>4.1250000000000002E-2</v>
      </c>
      <c r="E54" s="5">
        <f t="shared" si="6"/>
        <v>2.0625</v>
      </c>
      <c r="F54" s="1">
        <v>0</v>
      </c>
      <c r="G54" s="1">
        <f t="shared" si="7"/>
        <v>2.0625</v>
      </c>
    </row>
    <row r="55" spans="1:7" x14ac:dyDescent="0.2">
      <c r="A55" s="1" t="s">
        <v>70</v>
      </c>
      <c r="B55" s="3">
        <v>46212</v>
      </c>
      <c r="C55" s="1">
        <v>100</v>
      </c>
      <c r="D55" s="4">
        <v>4.1250000000000002E-2</v>
      </c>
      <c r="E55" s="5">
        <f t="shared" si="6"/>
        <v>2.0625</v>
      </c>
      <c r="F55" s="1">
        <v>0</v>
      </c>
      <c r="G55" s="1">
        <f t="shared" si="7"/>
        <v>2.0625</v>
      </c>
    </row>
    <row r="56" spans="1:7" x14ac:dyDescent="0.2">
      <c r="A56" s="1" t="s">
        <v>70</v>
      </c>
      <c r="B56" s="3">
        <v>46396</v>
      </c>
      <c r="C56" s="1">
        <v>100</v>
      </c>
      <c r="D56" s="4">
        <v>4.1250000000000002E-2</v>
      </c>
      <c r="E56" s="5">
        <f t="shared" si="6"/>
        <v>2.0625</v>
      </c>
      <c r="F56" s="1">
        <v>0</v>
      </c>
      <c r="G56" s="1">
        <f t="shared" si="7"/>
        <v>2.0625</v>
      </c>
    </row>
    <row r="57" spans="1:7" x14ac:dyDescent="0.2">
      <c r="A57" s="1" t="s">
        <v>70</v>
      </c>
      <c r="B57" s="3">
        <v>46577</v>
      </c>
      <c r="C57" s="1">
        <v>100</v>
      </c>
      <c r="D57" s="4">
        <v>4.1250000000000002E-2</v>
      </c>
      <c r="E57" s="5">
        <f t="shared" si="6"/>
        <v>2.0625</v>
      </c>
      <c r="F57" s="1">
        <v>0</v>
      </c>
      <c r="G57" s="1">
        <f t="shared" si="7"/>
        <v>2.0625</v>
      </c>
    </row>
    <row r="58" spans="1:7" x14ac:dyDescent="0.2">
      <c r="A58" s="1" t="s">
        <v>70</v>
      </c>
      <c r="B58" s="3">
        <v>46761</v>
      </c>
      <c r="C58" s="1">
        <v>100</v>
      </c>
      <c r="D58" s="4">
        <v>4.7500000000000001E-2</v>
      </c>
      <c r="E58" s="5">
        <f t="shared" si="6"/>
        <v>2.375</v>
      </c>
      <c r="F58" s="1">
        <v>0</v>
      </c>
      <c r="G58" s="1">
        <f t="shared" si="7"/>
        <v>2.375</v>
      </c>
    </row>
    <row r="59" spans="1:7" x14ac:dyDescent="0.2">
      <c r="A59" s="1" t="s">
        <v>70</v>
      </c>
      <c r="B59" s="3">
        <v>46943</v>
      </c>
      <c r="C59" s="1">
        <v>100</v>
      </c>
      <c r="D59" s="4">
        <v>4.7500000000000001E-2</v>
      </c>
      <c r="E59" s="5">
        <f t="shared" si="6"/>
        <v>2.375</v>
      </c>
      <c r="F59" s="1">
        <v>0</v>
      </c>
      <c r="G59" s="1">
        <f t="shared" si="7"/>
        <v>2.375</v>
      </c>
    </row>
    <row r="60" spans="1:7" x14ac:dyDescent="0.2">
      <c r="A60" s="1" t="s">
        <v>70</v>
      </c>
      <c r="B60" s="3">
        <v>47127</v>
      </c>
      <c r="C60" s="1">
        <v>100</v>
      </c>
      <c r="D60" s="4">
        <v>0.05</v>
      </c>
      <c r="E60" s="5">
        <f t="shared" si="6"/>
        <v>2.5</v>
      </c>
      <c r="F60" s="1">
        <v>0</v>
      </c>
      <c r="G60" s="1">
        <f t="shared" si="7"/>
        <v>2.5</v>
      </c>
    </row>
    <row r="61" spans="1:7" x14ac:dyDescent="0.2">
      <c r="A61" s="1" t="s">
        <v>70</v>
      </c>
      <c r="B61" s="3">
        <v>47308</v>
      </c>
      <c r="C61" s="1">
        <v>100</v>
      </c>
      <c r="D61" s="4">
        <v>0.05</v>
      </c>
      <c r="E61" s="5">
        <f t="shared" si="6"/>
        <v>2.5</v>
      </c>
      <c r="F61" s="1">
        <v>0</v>
      </c>
      <c r="G61" s="1">
        <f t="shared" si="7"/>
        <v>2.5</v>
      </c>
    </row>
    <row r="62" spans="1:7" x14ac:dyDescent="0.2">
      <c r="A62" s="1" t="s">
        <v>70</v>
      </c>
      <c r="B62" s="3">
        <v>47492</v>
      </c>
      <c r="C62" s="1">
        <v>100</v>
      </c>
      <c r="D62" s="4">
        <v>0.05</v>
      </c>
      <c r="E62" s="5">
        <f t="shared" si="6"/>
        <v>2.5</v>
      </c>
      <c r="F62" s="1">
        <v>0</v>
      </c>
      <c r="G62" s="1">
        <f t="shared" si="7"/>
        <v>2.5</v>
      </c>
    </row>
    <row r="63" spans="1:7" x14ac:dyDescent="0.2">
      <c r="A63" s="1" t="s">
        <v>70</v>
      </c>
      <c r="B63" s="3">
        <v>47673</v>
      </c>
      <c r="C63" s="1">
        <v>100</v>
      </c>
      <c r="D63" s="4">
        <v>0.05</v>
      </c>
      <c r="E63" s="5">
        <f t="shared" si="6"/>
        <v>2.5</v>
      </c>
      <c r="F63" s="1">
        <v>0</v>
      </c>
      <c r="G63" s="1">
        <f t="shared" si="7"/>
        <v>2.5</v>
      </c>
    </row>
    <row r="64" spans="1:7" x14ac:dyDescent="0.2">
      <c r="A64" s="1" t="s">
        <v>70</v>
      </c>
      <c r="B64" s="3">
        <v>47857</v>
      </c>
      <c r="C64" s="1">
        <f>C63-F64</f>
        <v>90</v>
      </c>
      <c r="D64" s="4">
        <v>0.05</v>
      </c>
      <c r="E64" s="5">
        <f t="shared" si="6"/>
        <v>2.5</v>
      </c>
      <c r="F64" s="1">
        <v>10</v>
      </c>
      <c r="G64" s="1">
        <f t="shared" si="7"/>
        <v>12.5</v>
      </c>
    </row>
    <row r="65" spans="1:7" x14ac:dyDescent="0.2">
      <c r="A65" s="1" t="s">
        <v>70</v>
      </c>
      <c r="B65" s="3">
        <v>48038</v>
      </c>
      <c r="C65" s="1">
        <f t="shared" ref="C65:C73" si="8">C64-F65</f>
        <v>80</v>
      </c>
      <c r="D65" s="4">
        <v>0.05</v>
      </c>
      <c r="E65" s="5">
        <f t="shared" si="6"/>
        <v>2.25</v>
      </c>
      <c r="F65" s="1">
        <v>10</v>
      </c>
      <c r="G65" s="1">
        <f t="shared" si="7"/>
        <v>12.25</v>
      </c>
    </row>
    <row r="66" spans="1:7" x14ac:dyDescent="0.2">
      <c r="A66" s="1" t="s">
        <v>70</v>
      </c>
      <c r="B66" s="3">
        <v>48222</v>
      </c>
      <c r="C66" s="1">
        <f t="shared" si="8"/>
        <v>70</v>
      </c>
      <c r="D66" s="4">
        <v>0.05</v>
      </c>
      <c r="E66" s="5">
        <f t="shared" si="6"/>
        <v>2</v>
      </c>
      <c r="F66" s="1">
        <v>10</v>
      </c>
      <c r="G66" s="1">
        <f t="shared" si="7"/>
        <v>12</v>
      </c>
    </row>
    <row r="67" spans="1:7" x14ac:dyDescent="0.2">
      <c r="A67" s="1" t="s">
        <v>70</v>
      </c>
      <c r="B67" s="3">
        <v>48404</v>
      </c>
      <c r="C67" s="1">
        <f t="shared" si="8"/>
        <v>60</v>
      </c>
      <c r="D67" s="4">
        <v>0.05</v>
      </c>
      <c r="E67" s="5">
        <f t="shared" si="6"/>
        <v>1.75</v>
      </c>
      <c r="F67" s="1">
        <v>10</v>
      </c>
      <c r="G67" s="1">
        <f t="shared" si="7"/>
        <v>11.75</v>
      </c>
    </row>
    <row r="68" spans="1:7" x14ac:dyDescent="0.2">
      <c r="A68" s="1" t="s">
        <v>70</v>
      </c>
      <c r="B68" s="3">
        <v>48588</v>
      </c>
      <c r="C68" s="1">
        <f t="shared" si="8"/>
        <v>50</v>
      </c>
      <c r="D68" s="4">
        <v>0.05</v>
      </c>
      <c r="E68" s="5">
        <f t="shared" si="6"/>
        <v>1.5</v>
      </c>
      <c r="F68" s="1">
        <v>10</v>
      </c>
      <c r="G68" s="1">
        <f t="shared" si="7"/>
        <v>11.5</v>
      </c>
    </row>
    <row r="69" spans="1:7" x14ac:dyDescent="0.2">
      <c r="A69" s="1" t="s">
        <v>70</v>
      </c>
      <c r="B69" s="3">
        <v>48769</v>
      </c>
      <c r="C69" s="1">
        <f t="shared" si="8"/>
        <v>40</v>
      </c>
      <c r="D69" s="4">
        <v>0.05</v>
      </c>
      <c r="E69" s="5">
        <f t="shared" si="6"/>
        <v>1.25</v>
      </c>
      <c r="F69" s="1">
        <v>10</v>
      </c>
      <c r="G69" s="1">
        <f t="shared" si="7"/>
        <v>11.25</v>
      </c>
    </row>
    <row r="70" spans="1:7" x14ac:dyDescent="0.2">
      <c r="A70" s="1" t="s">
        <v>70</v>
      </c>
      <c r="B70" s="3">
        <v>48953</v>
      </c>
      <c r="C70" s="1">
        <f t="shared" si="8"/>
        <v>30</v>
      </c>
      <c r="D70" s="4">
        <v>0.05</v>
      </c>
      <c r="E70" s="5">
        <f t="shared" si="6"/>
        <v>1</v>
      </c>
      <c r="F70" s="1">
        <v>10</v>
      </c>
      <c r="G70" s="1">
        <f t="shared" si="7"/>
        <v>11</v>
      </c>
    </row>
    <row r="71" spans="1:7" x14ac:dyDescent="0.2">
      <c r="A71" s="1" t="s">
        <v>70</v>
      </c>
      <c r="B71" s="3">
        <v>49134</v>
      </c>
      <c r="C71" s="1">
        <f t="shared" si="8"/>
        <v>20</v>
      </c>
      <c r="D71" s="4">
        <v>0.05</v>
      </c>
      <c r="E71" s="5">
        <f t="shared" si="6"/>
        <v>0.75</v>
      </c>
      <c r="F71" s="1">
        <v>10</v>
      </c>
      <c r="G71" s="1">
        <f t="shared" si="7"/>
        <v>10.75</v>
      </c>
    </row>
    <row r="72" spans="1:7" x14ac:dyDescent="0.2">
      <c r="A72" s="1" t="s">
        <v>70</v>
      </c>
      <c r="B72" s="3">
        <v>49318</v>
      </c>
      <c r="C72" s="1">
        <f t="shared" si="8"/>
        <v>10</v>
      </c>
      <c r="D72" s="4">
        <v>0.05</v>
      </c>
      <c r="E72" s="5">
        <f t="shared" si="6"/>
        <v>0.5</v>
      </c>
      <c r="F72" s="1">
        <v>10</v>
      </c>
      <c r="G72" s="1">
        <f t="shared" si="7"/>
        <v>10.5</v>
      </c>
    </row>
    <row r="73" spans="1:7" x14ac:dyDescent="0.2">
      <c r="A73" s="1" t="s">
        <v>70</v>
      </c>
      <c r="B73" s="3">
        <v>49499</v>
      </c>
      <c r="C73" s="1">
        <f t="shared" si="8"/>
        <v>0</v>
      </c>
      <c r="D73" s="4">
        <v>0.05</v>
      </c>
      <c r="E73" s="5">
        <f t="shared" si="6"/>
        <v>0.25</v>
      </c>
      <c r="F73" s="1">
        <v>10</v>
      </c>
      <c r="G73" s="1">
        <f t="shared" si="7"/>
        <v>10.25</v>
      </c>
    </row>
    <row r="74" spans="1:7" x14ac:dyDescent="0.2">
      <c r="A74" s="1"/>
      <c r="B74" s="3"/>
      <c r="C74" s="1"/>
      <c r="D74" s="4"/>
      <c r="E74" s="5"/>
      <c r="F74" s="1"/>
      <c r="G74" s="1"/>
    </row>
    <row r="75" spans="1:7" x14ac:dyDescent="0.2">
      <c r="A75" s="2" t="s">
        <v>0</v>
      </c>
      <c r="B75" s="2" t="s">
        <v>10</v>
      </c>
      <c r="C75" s="2" t="s">
        <v>11</v>
      </c>
      <c r="D75" s="2" t="s">
        <v>14</v>
      </c>
      <c r="E75" s="2" t="s">
        <v>12</v>
      </c>
      <c r="F75" s="2" t="s">
        <v>13</v>
      </c>
      <c r="G75" s="2" t="s">
        <v>15</v>
      </c>
    </row>
    <row r="76" spans="1:7" x14ac:dyDescent="0.2">
      <c r="A76" s="1" t="s">
        <v>71</v>
      </c>
      <c r="B76" s="3">
        <v>44078</v>
      </c>
      <c r="C76" s="1">
        <v>100</v>
      </c>
      <c r="D76" s="1">
        <v>0</v>
      </c>
      <c r="E76" s="1">
        <v>0</v>
      </c>
      <c r="F76" s="1">
        <v>0</v>
      </c>
      <c r="G76" s="1">
        <f>F76+E76</f>
        <v>0</v>
      </c>
    </row>
    <row r="77" spans="1:7" x14ac:dyDescent="0.2">
      <c r="A77" s="1" t="s">
        <v>71</v>
      </c>
      <c r="B77" s="3">
        <v>44386</v>
      </c>
      <c r="C77" s="1">
        <v>100</v>
      </c>
      <c r="D77" s="4">
        <v>1.25E-3</v>
      </c>
      <c r="E77" s="5">
        <f t="shared" ref="E77:E110" si="9">((D77*C76)/360)*DAYS360(B76,B77)</f>
        <v>0.10590277777777778</v>
      </c>
      <c r="F77" s="1">
        <v>0</v>
      </c>
      <c r="G77" s="1">
        <f t="shared" ref="G77:G110" si="10">F77+E77</f>
        <v>0.10590277777777778</v>
      </c>
    </row>
    <row r="78" spans="1:7" x14ac:dyDescent="0.2">
      <c r="A78" s="1" t="s">
        <v>71</v>
      </c>
      <c r="B78" s="3">
        <v>44570</v>
      </c>
      <c r="C78" s="1">
        <v>100</v>
      </c>
      <c r="D78" s="4">
        <v>0.02</v>
      </c>
      <c r="E78" s="5">
        <f t="shared" si="9"/>
        <v>1</v>
      </c>
      <c r="F78" s="1">
        <v>0</v>
      </c>
      <c r="G78" s="1">
        <f t="shared" si="10"/>
        <v>1</v>
      </c>
    </row>
    <row r="79" spans="1:7" x14ac:dyDescent="0.2">
      <c r="A79" s="1" t="s">
        <v>71</v>
      </c>
      <c r="B79" s="3">
        <v>44751</v>
      </c>
      <c r="C79" s="1">
        <v>100</v>
      </c>
      <c r="D79" s="4">
        <v>0.02</v>
      </c>
      <c r="E79" s="5">
        <f t="shared" si="9"/>
        <v>1</v>
      </c>
      <c r="F79" s="1">
        <v>0</v>
      </c>
      <c r="G79" s="1">
        <f t="shared" si="10"/>
        <v>1</v>
      </c>
    </row>
    <row r="80" spans="1:7" x14ac:dyDescent="0.2">
      <c r="A80" s="1" t="s">
        <v>71</v>
      </c>
      <c r="B80" s="3">
        <v>44935</v>
      </c>
      <c r="C80" s="1">
        <v>100</v>
      </c>
      <c r="D80" s="4">
        <v>3.875E-2</v>
      </c>
      <c r="E80" s="5">
        <f t="shared" si="9"/>
        <v>1.9375</v>
      </c>
      <c r="F80" s="1">
        <v>0</v>
      </c>
      <c r="G80" s="1">
        <f t="shared" si="10"/>
        <v>1.9375</v>
      </c>
    </row>
    <row r="81" spans="1:7" x14ac:dyDescent="0.2">
      <c r="A81" s="1" t="s">
        <v>71</v>
      </c>
      <c r="B81" s="3">
        <v>45116</v>
      </c>
      <c r="C81" s="1">
        <v>100</v>
      </c>
      <c r="D81" s="4">
        <v>3.875E-2</v>
      </c>
      <c r="E81" s="5">
        <f t="shared" si="9"/>
        <v>1.9375</v>
      </c>
      <c r="F81" s="1">
        <v>0</v>
      </c>
      <c r="G81" s="1">
        <f t="shared" si="10"/>
        <v>1.9375</v>
      </c>
    </row>
    <row r="82" spans="1:7" x14ac:dyDescent="0.2">
      <c r="A82" s="1" t="s">
        <v>71</v>
      </c>
      <c r="B82" s="3">
        <v>45300</v>
      </c>
      <c r="C82" s="1">
        <v>100</v>
      </c>
      <c r="D82" s="4">
        <v>4.2500000000000003E-2</v>
      </c>
      <c r="E82" s="5">
        <f t="shared" si="9"/>
        <v>2.125</v>
      </c>
      <c r="F82" s="1">
        <v>0</v>
      </c>
      <c r="G82" s="1">
        <f t="shared" si="10"/>
        <v>2.125</v>
      </c>
    </row>
    <row r="83" spans="1:7" x14ac:dyDescent="0.2">
      <c r="A83" s="1" t="s">
        <v>71</v>
      </c>
      <c r="B83" s="3">
        <v>45482</v>
      </c>
      <c r="C83" s="1">
        <v>100</v>
      </c>
      <c r="D83" s="4">
        <v>4.2500000000000003E-2</v>
      </c>
      <c r="E83" s="5">
        <f t="shared" si="9"/>
        <v>2.125</v>
      </c>
      <c r="F83" s="1">
        <v>0</v>
      </c>
      <c r="G83" s="1">
        <f t="shared" si="10"/>
        <v>2.125</v>
      </c>
    </row>
    <row r="84" spans="1:7" x14ac:dyDescent="0.2">
      <c r="A84" s="1" t="s">
        <v>71</v>
      </c>
      <c r="B84" s="3">
        <v>45666</v>
      </c>
      <c r="C84" s="1">
        <v>100</v>
      </c>
      <c r="D84" s="4">
        <v>0.05</v>
      </c>
      <c r="E84" s="5">
        <f t="shared" si="9"/>
        <v>2.5</v>
      </c>
      <c r="F84" s="1">
        <v>0</v>
      </c>
      <c r="G84" s="1">
        <f t="shared" si="10"/>
        <v>2.5</v>
      </c>
    </row>
    <row r="85" spans="1:7" x14ac:dyDescent="0.2">
      <c r="A85" s="1" t="s">
        <v>71</v>
      </c>
      <c r="B85" s="3">
        <v>45847</v>
      </c>
      <c r="C85" s="1">
        <v>100</v>
      </c>
      <c r="D85" s="4">
        <v>0.05</v>
      </c>
      <c r="E85" s="5">
        <f t="shared" si="9"/>
        <v>2.5</v>
      </c>
      <c r="F85" s="1">
        <v>0</v>
      </c>
      <c r="G85" s="1">
        <f t="shared" si="10"/>
        <v>2.5</v>
      </c>
    </row>
    <row r="86" spans="1:7" x14ac:dyDescent="0.2">
      <c r="A86" s="1" t="s">
        <v>71</v>
      </c>
      <c r="B86" s="3">
        <v>46031</v>
      </c>
      <c r="C86" s="1">
        <v>100</v>
      </c>
      <c r="D86" s="4">
        <v>0.05</v>
      </c>
      <c r="E86" s="5">
        <f t="shared" si="9"/>
        <v>2.5</v>
      </c>
      <c r="F86" s="1">
        <v>0</v>
      </c>
      <c r="G86" s="1">
        <f t="shared" si="10"/>
        <v>2.5</v>
      </c>
    </row>
    <row r="87" spans="1:7" x14ac:dyDescent="0.2">
      <c r="A87" s="1" t="s">
        <v>71</v>
      </c>
      <c r="B87" s="3">
        <v>46212</v>
      </c>
      <c r="C87" s="1">
        <v>100</v>
      </c>
      <c r="D87" s="4">
        <v>0.05</v>
      </c>
      <c r="E87" s="5">
        <f t="shared" si="9"/>
        <v>2.5</v>
      </c>
      <c r="F87" s="1">
        <v>0</v>
      </c>
      <c r="G87" s="1">
        <f t="shared" si="10"/>
        <v>2.5</v>
      </c>
    </row>
    <row r="88" spans="1:7" x14ac:dyDescent="0.2">
      <c r="A88" s="1" t="s">
        <v>71</v>
      </c>
      <c r="B88" s="3">
        <v>46396</v>
      </c>
      <c r="C88" s="1">
        <v>100</v>
      </c>
      <c r="D88" s="4">
        <v>0.05</v>
      </c>
      <c r="E88" s="5">
        <f t="shared" si="9"/>
        <v>2.5</v>
      </c>
      <c r="F88" s="1">
        <v>0</v>
      </c>
      <c r="G88" s="1">
        <f t="shared" si="10"/>
        <v>2.5</v>
      </c>
    </row>
    <row r="89" spans="1:7" x14ac:dyDescent="0.2">
      <c r="A89" s="1" t="s">
        <v>71</v>
      </c>
      <c r="B89" s="3">
        <v>46577</v>
      </c>
      <c r="C89" s="1">
        <f>C88-F89</f>
        <v>95.454599999999999</v>
      </c>
      <c r="D89" s="4">
        <v>0.05</v>
      </c>
      <c r="E89" s="5">
        <f t="shared" si="9"/>
        <v>2.5</v>
      </c>
      <c r="F89" s="1">
        <v>4.5453999999999999</v>
      </c>
      <c r="G89" s="1">
        <f t="shared" si="10"/>
        <v>7.0453999999999999</v>
      </c>
    </row>
    <row r="90" spans="1:7" x14ac:dyDescent="0.2">
      <c r="A90" s="1" t="s">
        <v>71</v>
      </c>
      <c r="B90" s="3">
        <v>46761</v>
      </c>
      <c r="C90" s="1">
        <f t="shared" ref="C90:C109" si="11">C89-F90</f>
        <v>90.909199999999998</v>
      </c>
      <c r="D90" s="4">
        <v>0.05</v>
      </c>
      <c r="E90" s="5">
        <f t="shared" si="9"/>
        <v>2.3863650000000001</v>
      </c>
      <c r="F90" s="1">
        <v>4.5453999999999999</v>
      </c>
      <c r="G90" s="1">
        <f t="shared" si="10"/>
        <v>6.9317650000000004</v>
      </c>
    </row>
    <row r="91" spans="1:7" x14ac:dyDescent="0.2">
      <c r="A91" s="1" t="s">
        <v>71</v>
      </c>
      <c r="B91" s="3">
        <v>46943</v>
      </c>
      <c r="C91" s="1">
        <f t="shared" si="11"/>
        <v>86.363799999999998</v>
      </c>
      <c r="D91" s="4">
        <v>0.05</v>
      </c>
      <c r="E91" s="5">
        <f t="shared" si="9"/>
        <v>2.2727300000000001</v>
      </c>
      <c r="F91" s="1">
        <v>4.5453999999999999</v>
      </c>
      <c r="G91" s="1">
        <f t="shared" si="10"/>
        <v>6.81813</v>
      </c>
    </row>
    <row r="92" spans="1:7" x14ac:dyDescent="0.2">
      <c r="A92" s="1" t="s">
        <v>71</v>
      </c>
      <c r="B92" s="3">
        <v>47127</v>
      </c>
      <c r="C92" s="1">
        <f t="shared" si="11"/>
        <v>81.818399999999997</v>
      </c>
      <c r="D92" s="4">
        <v>0.05</v>
      </c>
      <c r="E92" s="5">
        <f t="shared" si="9"/>
        <v>2.1590950000000002</v>
      </c>
      <c r="F92" s="1">
        <v>4.5453999999999999</v>
      </c>
      <c r="G92" s="1">
        <f t="shared" si="10"/>
        <v>6.7044949999999996</v>
      </c>
    </row>
    <row r="93" spans="1:7" x14ac:dyDescent="0.2">
      <c r="A93" s="1" t="s">
        <v>71</v>
      </c>
      <c r="B93" s="3">
        <v>47308</v>
      </c>
      <c r="C93" s="1">
        <f t="shared" si="11"/>
        <v>77.272999999999996</v>
      </c>
      <c r="D93" s="4">
        <v>0.05</v>
      </c>
      <c r="E93" s="5">
        <f t="shared" si="9"/>
        <v>2.0454599999999998</v>
      </c>
      <c r="F93" s="1">
        <v>4.5453999999999999</v>
      </c>
      <c r="G93" s="1">
        <f t="shared" si="10"/>
        <v>6.5908599999999993</v>
      </c>
    </row>
    <row r="94" spans="1:7" x14ac:dyDescent="0.2">
      <c r="A94" s="1" t="s">
        <v>71</v>
      </c>
      <c r="B94" s="3">
        <v>47492</v>
      </c>
      <c r="C94" s="1">
        <f t="shared" si="11"/>
        <v>72.727599999999995</v>
      </c>
      <c r="D94" s="4">
        <v>0.05</v>
      </c>
      <c r="E94" s="5">
        <f t="shared" si="9"/>
        <v>1.9318249999999999</v>
      </c>
      <c r="F94" s="1">
        <v>4.5453999999999999</v>
      </c>
      <c r="G94" s="1">
        <f t="shared" si="10"/>
        <v>6.4772249999999998</v>
      </c>
    </row>
    <row r="95" spans="1:7" x14ac:dyDescent="0.2">
      <c r="A95" s="1" t="s">
        <v>71</v>
      </c>
      <c r="B95" s="3">
        <v>47673</v>
      </c>
      <c r="C95" s="1">
        <f t="shared" si="11"/>
        <v>68.182199999999995</v>
      </c>
      <c r="D95" s="4">
        <v>0.05</v>
      </c>
      <c r="E95" s="5">
        <f t="shared" si="9"/>
        <v>1.81819</v>
      </c>
      <c r="F95" s="1">
        <v>4.5453999999999999</v>
      </c>
      <c r="G95" s="1">
        <f t="shared" si="10"/>
        <v>6.3635900000000003</v>
      </c>
    </row>
    <row r="96" spans="1:7" x14ac:dyDescent="0.2">
      <c r="A96" s="1" t="s">
        <v>71</v>
      </c>
      <c r="B96" s="3">
        <v>47857</v>
      </c>
      <c r="C96" s="1">
        <f t="shared" si="11"/>
        <v>63.636799999999994</v>
      </c>
      <c r="D96" s="4">
        <v>0.05</v>
      </c>
      <c r="E96" s="5">
        <f t="shared" si="9"/>
        <v>1.704555</v>
      </c>
      <c r="F96" s="1">
        <v>4.5453999999999999</v>
      </c>
      <c r="G96" s="1">
        <f t="shared" si="10"/>
        <v>6.2499549999999999</v>
      </c>
    </row>
    <row r="97" spans="1:7" x14ac:dyDescent="0.2">
      <c r="A97" s="1" t="s">
        <v>71</v>
      </c>
      <c r="B97" s="3">
        <v>48038</v>
      </c>
      <c r="C97" s="1">
        <f t="shared" si="11"/>
        <v>59.091399999999993</v>
      </c>
      <c r="D97" s="4">
        <v>0.05</v>
      </c>
      <c r="E97" s="5">
        <f t="shared" si="9"/>
        <v>1.5909199999999999</v>
      </c>
      <c r="F97" s="1">
        <v>4.5453999999999999</v>
      </c>
      <c r="G97" s="1">
        <f t="shared" si="10"/>
        <v>6.1363199999999996</v>
      </c>
    </row>
    <row r="98" spans="1:7" x14ac:dyDescent="0.2">
      <c r="A98" s="1" t="s">
        <v>71</v>
      </c>
      <c r="B98" s="3">
        <v>48222</v>
      </c>
      <c r="C98" s="1">
        <f t="shared" si="11"/>
        <v>54.545999999999992</v>
      </c>
      <c r="D98" s="4">
        <v>0.05</v>
      </c>
      <c r="E98" s="5">
        <f t="shared" si="9"/>
        <v>1.477285</v>
      </c>
      <c r="F98" s="1">
        <v>4.5453999999999999</v>
      </c>
      <c r="G98" s="1">
        <f t="shared" si="10"/>
        <v>6.0226850000000001</v>
      </c>
    </row>
    <row r="99" spans="1:7" x14ac:dyDescent="0.2">
      <c r="A99" s="1" t="s">
        <v>71</v>
      </c>
      <c r="B99" s="3">
        <v>48404</v>
      </c>
      <c r="C99" s="1">
        <f t="shared" si="11"/>
        <v>50.000599999999991</v>
      </c>
      <c r="D99" s="4">
        <v>0.05</v>
      </c>
      <c r="E99" s="5">
        <f t="shared" si="9"/>
        <v>1.3636499999999998</v>
      </c>
      <c r="F99" s="1">
        <v>4.5453999999999999</v>
      </c>
      <c r="G99" s="1">
        <f t="shared" si="10"/>
        <v>5.9090499999999997</v>
      </c>
    </row>
    <row r="100" spans="1:7" x14ac:dyDescent="0.2">
      <c r="A100" s="1" t="s">
        <v>71</v>
      </c>
      <c r="B100" s="3">
        <v>48588</v>
      </c>
      <c r="C100" s="1">
        <f t="shared" si="11"/>
        <v>45.455199999999991</v>
      </c>
      <c r="D100" s="4">
        <v>0.05</v>
      </c>
      <c r="E100" s="5">
        <f t="shared" si="9"/>
        <v>1.2500149999999999</v>
      </c>
      <c r="F100" s="1">
        <v>4.5453999999999999</v>
      </c>
      <c r="G100" s="1">
        <f t="shared" si="10"/>
        <v>5.7954150000000002</v>
      </c>
    </row>
    <row r="101" spans="1:7" x14ac:dyDescent="0.2">
      <c r="A101" s="1" t="s">
        <v>71</v>
      </c>
      <c r="B101" s="3">
        <v>48769</v>
      </c>
      <c r="C101" s="1">
        <f t="shared" si="11"/>
        <v>40.90979999999999</v>
      </c>
      <c r="D101" s="4">
        <v>0.05</v>
      </c>
      <c r="E101" s="5">
        <f t="shared" si="9"/>
        <v>1.1363799999999997</v>
      </c>
      <c r="F101" s="1">
        <v>4.5453999999999999</v>
      </c>
      <c r="G101" s="1">
        <f t="shared" si="10"/>
        <v>5.6817799999999998</v>
      </c>
    </row>
    <row r="102" spans="1:7" x14ac:dyDescent="0.2">
      <c r="A102" s="1" t="s">
        <v>71</v>
      </c>
      <c r="B102" s="3">
        <v>48953</v>
      </c>
      <c r="C102" s="1">
        <f t="shared" si="11"/>
        <v>36.364399999999989</v>
      </c>
      <c r="D102" s="4">
        <v>0.05</v>
      </c>
      <c r="E102" s="5">
        <f t="shared" si="9"/>
        <v>1.0227449999999998</v>
      </c>
      <c r="F102" s="1">
        <v>4.5453999999999999</v>
      </c>
      <c r="G102" s="1">
        <f t="shared" si="10"/>
        <v>5.5681449999999995</v>
      </c>
    </row>
    <row r="103" spans="1:7" x14ac:dyDescent="0.2">
      <c r="A103" s="1" t="s">
        <v>71</v>
      </c>
      <c r="B103" s="3">
        <v>49134</v>
      </c>
      <c r="C103" s="1">
        <f t="shared" si="11"/>
        <v>31.818999999999988</v>
      </c>
      <c r="D103" s="4">
        <v>0.05</v>
      </c>
      <c r="E103" s="5">
        <f t="shared" si="9"/>
        <v>0.90910999999999975</v>
      </c>
      <c r="F103" s="1">
        <v>4.5453999999999999</v>
      </c>
      <c r="G103" s="1">
        <f t="shared" si="10"/>
        <v>5.45451</v>
      </c>
    </row>
    <row r="104" spans="1:7" x14ac:dyDescent="0.2">
      <c r="A104" s="1" t="s">
        <v>71</v>
      </c>
      <c r="B104" s="3">
        <v>49318</v>
      </c>
      <c r="C104" s="1">
        <f t="shared" si="11"/>
        <v>27.273599999999988</v>
      </c>
      <c r="D104" s="4">
        <v>0.05</v>
      </c>
      <c r="E104" s="5">
        <f t="shared" si="9"/>
        <v>0.79547499999999971</v>
      </c>
      <c r="F104" s="1">
        <v>4.5453999999999999</v>
      </c>
      <c r="G104" s="1">
        <f t="shared" si="10"/>
        <v>5.3408749999999996</v>
      </c>
    </row>
    <row r="105" spans="1:7" x14ac:dyDescent="0.2">
      <c r="A105" s="1" t="s">
        <v>71</v>
      </c>
      <c r="B105" s="3">
        <v>49499</v>
      </c>
      <c r="C105" s="1">
        <f t="shared" si="11"/>
        <v>22.728199999999987</v>
      </c>
      <c r="D105" s="4">
        <v>0.05</v>
      </c>
      <c r="E105" s="5">
        <f t="shared" si="9"/>
        <v>0.68183999999999978</v>
      </c>
      <c r="F105" s="1">
        <v>4.5453999999999999</v>
      </c>
      <c r="G105" s="1">
        <f t="shared" si="10"/>
        <v>5.2272400000000001</v>
      </c>
    </row>
    <row r="106" spans="1:7" x14ac:dyDescent="0.2">
      <c r="A106" s="1" t="s">
        <v>71</v>
      </c>
      <c r="B106" s="3">
        <v>49683</v>
      </c>
      <c r="C106" s="1">
        <f t="shared" si="11"/>
        <v>18.182799999999986</v>
      </c>
      <c r="D106" s="4">
        <v>0.05</v>
      </c>
      <c r="E106" s="5">
        <f t="shared" si="9"/>
        <v>0.56820499999999974</v>
      </c>
      <c r="F106" s="1">
        <v>4.5453999999999999</v>
      </c>
      <c r="G106" s="1">
        <f t="shared" si="10"/>
        <v>5.1136049999999997</v>
      </c>
    </row>
    <row r="107" spans="1:7" x14ac:dyDescent="0.2">
      <c r="A107" s="1" t="s">
        <v>71</v>
      </c>
      <c r="B107" s="3">
        <v>49865</v>
      </c>
      <c r="C107" s="1">
        <f t="shared" si="11"/>
        <v>13.637399999999985</v>
      </c>
      <c r="D107" s="4">
        <v>0.05</v>
      </c>
      <c r="E107" s="5">
        <f t="shared" si="9"/>
        <v>0.4545699999999997</v>
      </c>
      <c r="F107" s="1">
        <v>4.5453999999999999</v>
      </c>
      <c r="G107" s="1">
        <f t="shared" si="10"/>
        <v>4.9999699999999994</v>
      </c>
    </row>
    <row r="108" spans="1:7" x14ac:dyDescent="0.2">
      <c r="A108" s="1" t="s">
        <v>71</v>
      </c>
      <c r="B108" s="3">
        <v>50049</v>
      </c>
      <c r="C108" s="1">
        <f t="shared" si="11"/>
        <v>9.0919999999999845</v>
      </c>
      <c r="D108" s="4">
        <v>0.05</v>
      </c>
      <c r="E108" s="5">
        <f t="shared" si="9"/>
        <v>0.34093499999999965</v>
      </c>
      <c r="F108" s="1">
        <v>4.5453999999999999</v>
      </c>
      <c r="G108" s="1">
        <f t="shared" si="10"/>
        <v>4.8863349999999999</v>
      </c>
    </row>
    <row r="109" spans="1:7" x14ac:dyDescent="0.2">
      <c r="A109" s="1" t="s">
        <v>71</v>
      </c>
      <c r="B109" s="3">
        <v>50230</v>
      </c>
      <c r="C109" s="1">
        <f t="shared" si="11"/>
        <v>4.5465999999999847</v>
      </c>
      <c r="D109" s="4">
        <v>0.05</v>
      </c>
      <c r="E109" s="5">
        <f t="shared" si="9"/>
        <v>0.22729999999999961</v>
      </c>
      <c r="F109" s="1">
        <v>4.5453999999999999</v>
      </c>
      <c r="G109" s="1">
        <f t="shared" si="10"/>
        <v>4.7726999999999995</v>
      </c>
    </row>
    <row r="110" spans="1:7" x14ac:dyDescent="0.2">
      <c r="A110" s="1" t="s">
        <v>71</v>
      </c>
      <c r="B110" s="3">
        <v>50414</v>
      </c>
      <c r="C110" s="1">
        <v>0</v>
      </c>
      <c r="D110" s="4">
        <v>0.05</v>
      </c>
      <c r="E110" s="5">
        <f t="shared" si="9"/>
        <v>0.11366499999999963</v>
      </c>
      <c r="F110" s="1">
        <v>4.5465999999999998</v>
      </c>
      <c r="G110" s="1">
        <f t="shared" si="10"/>
        <v>4.660264999999999</v>
      </c>
    </row>
    <row r="111" spans="1:7" x14ac:dyDescent="0.2">
      <c r="A111" s="1"/>
      <c r="B111" s="3"/>
      <c r="C111" s="1"/>
      <c r="D111" s="4"/>
      <c r="E111" s="5"/>
      <c r="F111" s="1"/>
      <c r="G111" s="1"/>
    </row>
    <row r="112" spans="1:7" x14ac:dyDescent="0.2">
      <c r="A112" s="2" t="s">
        <v>0</v>
      </c>
      <c r="B112" s="2" t="s">
        <v>10</v>
      </c>
      <c r="C112" s="2" t="s">
        <v>11</v>
      </c>
      <c r="D112" s="2" t="s">
        <v>14</v>
      </c>
      <c r="E112" s="2" t="s">
        <v>12</v>
      </c>
      <c r="F112" s="2" t="s">
        <v>13</v>
      </c>
      <c r="G112" s="2" t="s">
        <v>15</v>
      </c>
    </row>
    <row r="113" spans="1:7" x14ac:dyDescent="0.2">
      <c r="A113" s="1" t="s">
        <v>72</v>
      </c>
      <c r="B113" s="3">
        <v>44078</v>
      </c>
      <c r="C113" s="1">
        <v>100</v>
      </c>
      <c r="D113" s="1">
        <v>0</v>
      </c>
      <c r="E113" s="1">
        <v>0</v>
      </c>
      <c r="F113" s="1">
        <v>0</v>
      </c>
      <c r="G113" s="1">
        <f>F113+E113</f>
        <v>0</v>
      </c>
    </row>
    <row r="114" spans="1:7" x14ac:dyDescent="0.2">
      <c r="A114" s="1" t="s">
        <v>72</v>
      </c>
      <c r="B114" s="3">
        <v>44386</v>
      </c>
      <c r="C114" s="1">
        <v>100</v>
      </c>
      <c r="D114" s="4">
        <v>1.25E-3</v>
      </c>
      <c r="E114" s="5">
        <f t="shared" ref="E114:E154" si="12">((D114*C113)/360)*DAYS360(B113,B114)</f>
        <v>0.10590277777777778</v>
      </c>
      <c r="F114" s="1">
        <v>0</v>
      </c>
      <c r="G114" s="1">
        <f t="shared" ref="G114:G154" si="13">F114+E114</f>
        <v>0.10590277777777778</v>
      </c>
    </row>
    <row r="115" spans="1:7" x14ac:dyDescent="0.2">
      <c r="A115" s="1" t="s">
        <v>72</v>
      </c>
      <c r="B115" s="3">
        <v>44570</v>
      </c>
      <c r="C115" s="1">
        <v>100</v>
      </c>
      <c r="D115" s="4">
        <v>2.5000000000000001E-2</v>
      </c>
      <c r="E115" s="5">
        <f t="shared" si="12"/>
        <v>1.25</v>
      </c>
      <c r="F115" s="1">
        <v>0</v>
      </c>
      <c r="G115" s="1">
        <f t="shared" si="13"/>
        <v>1.25</v>
      </c>
    </row>
    <row r="116" spans="1:7" x14ac:dyDescent="0.2">
      <c r="A116" s="1" t="s">
        <v>72</v>
      </c>
      <c r="B116" s="3">
        <v>44751</v>
      </c>
      <c r="C116" s="1">
        <v>100</v>
      </c>
      <c r="D116" s="4">
        <v>2.5000000000000001E-2</v>
      </c>
      <c r="E116" s="5">
        <f t="shared" si="12"/>
        <v>1.25</v>
      </c>
      <c r="F116" s="1">
        <v>0</v>
      </c>
      <c r="G116" s="1">
        <f t="shared" si="13"/>
        <v>1.25</v>
      </c>
    </row>
    <row r="117" spans="1:7" x14ac:dyDescent="0.2">
      <c r="A117" s="1" t="s">
        <v>72</v>
      </c>
      <c r="B117" s="3">
        <v>44935</v>
      </c>
      <c r="C117" s="1">
        <v>100</v>
      </c>
      <c r="D117" s="4">
        <v>3.5000000000000003E-2</v>
      </c>
      <c r="E117" s="5">
        <f t="shared" si="12"/>
        <v>1.7500000000000004</v>
      </c>
      <c r="F117" s="1">
        <v>0</v>
      </c>
      <c r="G117" s="1">
        <f t="shared" si="13"/>
        <v>1.7500000000000004</v>
      </c>
    </row>
    <row r="118" spans="1:7" x14ac:dyDescent="0.2">
      <c r="A118" s="1" t="s">
        <v>72</v>
      </c>
      <c r="B118" s="3">
        <v>45116</v>
      </c>
      <c r="C118" s="1">
        <v>100</v>
      </c>
      <c r="D118" s="4">
        <v>3.5000000000000003E-2</v>
      </c>
      <c r="E118" s="5">
        <f t="shared" si="12"/>
        <v>1.7500000000000004</v>
      </c>
      <c r="F118" s="1">
        <v>0</v>
      </c>
      <c r="G118" s="1">
        <f t="shared" si="13"/>
        <v>1.7500000000000004</v>
      </c>
    </row>
    <row r="119" spans="1:7" x14ac:dyDescent="0.2">
      <c r="A119" s="1" t="s">
        <v>72</v>
      </c>
      <c r="B119" s="3">
        <v>45300</v>
      </c>
      <c r="C119" s="1">
        <v>100</v>
      </c>
      <c r="D119" s="4">
        <v>3.5000000000000003E-2</v>
      </c>
      <c r="E119" s="5">
        <f t="shared" si="12"/>
        <v>1.7500000000000004</v>
      </c>
      <c r="F119" s="1">
        <v>0</v>
      </c>
      <c r="G119" s="1">
        <f t="shared" si="13"/>
        <v>1.7500000000000004</v>
      </c>
    </row>
    <row r="120" spans="1:7" x14ac:dyDescent="0.2">
      <c r="A120" s="1" t="s">
        <v>72</v>
      </c>
      <c r="B120" s="3">
        <v>45482</v>
      </c>
      <c r="C120" s="1">
        <v>100</v>
      </c>
      <c r="D120" s="4">
        <v>3.5000000000000003E-2</v>
      </c>
      <c r="E120" s="5">
        <f t="shared" si="12"/>
        <v>1.7500000000000004</v>
      </c>
      <c r="F120" s="1">
        <v>0</v>
      </c>
      <c r="G120" s="1">
        <f t="shared" si="13"/>
        <v>1.7500000000000004</v>
      </c>
    </row>
    <row r="121" spans="1:7" x14ac:dyDescent="0.2">
      <c r="A121" s="1" t="s">
        <v>72</v>
      </c>
      <c r="B121" s="3">
        <v>45666</v>
      </c>
      <c r="C121" s="1">
        <v>100</v>
      </c>
      <c r="D121" s="4">
        <v>3.5000000000000003E-2</v>
      </c>
      <c r="E121" s="5">
        <f t="shared" si="12"/>
        <v>1.7500000000000004</v>
      </c>
      <c r="F121" s="1">
        <v>0</v>
      </c>
      <c r="G121" s="1">
        <f t="shared" si="13"/>
        <v>1.7500000000000004</v>
      </c>
    </row>
    <row r="122" spans="1:7" x14ac:dyDescent="0.2">
      <c r="A122" s="1" t="s">
        <v>72</v>
      </c>
      <c r="B122" s="3">
        <v>45847</v>
      </c>
      <c r="C122" s="1">
        <v>100</v>
      </c>
      <c r="D122" s="4">
        <v>3.5000000000000003E-2</v>
      </c>
      <c r="E122" s="5">
        <f t="shared" si="12"/>
        <v>1.7500000000000004</v>
      </c>
      <c r="F122" s="1">
        <v>0</v>
      </c>
      <c r="G122" s="1">
        <f t="shared" si="13"/>
        <v>1.7500000000000004</v>
      </c>
    </row>
    <row r="123" spans="1:7" x14ac:dyDescent="0.2">
      <c r="A123" s="1" t="s">
        <v>72</v>
      </c>
      <c r="B123" s="3">
        <v>46031</v>
      </c>
      <c r="C123" s="1">
        <v>100</v>
      </c>
      <c r="D123" s="4">
        <v>3.5000000000000003E-2</v>
      </c>
      <c r="E123" s="5">
        <f t="shared" si="12"/>
        <v>1.7500000000000004</v>
      </c>
      <c r="F123" s="1">
        <v>0</v>
      </c>
      <c r="G123" s="1">
        <f t="shared" si="13"/>
        <v>1.7500000000000004</v>
      </c>
    </row>
    <row r="124" spans="1:7" x14ac:dyDescent="0.2">
      <c r="A124" s="1" t="s">
        <v>72</v>
      </c>
      <c r="B124" s="3">
        <v>46212</v>
      </c>
      <c r="C124" s="1">
        <v>100</v>
      </c>
      <c r="D124" s="4">
        <v>3.5000000000000003E-2</v>
      </c>
      <c r="E124" s="5">
        <f t="shared" si="12"/>
        <v>1.7500000000000004</v>
      </c>
      <c r="F124" s="1">
        <v>0</v>
      </c>
      <c r="G124" s="1">
        <f t="shared" si="13"/>
        <v>1.7500000000000004</v>
      </c>
    </row>
    <row r="125" spans="1:7" x14ac:dyDescent="0.2">
      <c r="A125" s="1" t="s">
        <v>72</v>
      </c>
      <c r="B125" s="3">
        <v>46396</v>
      </c>
      <c r="C125" s="1">
        <v>100</v>
      </c>
      <c r="D125" s="4">
        <v>3.5000000000000003E-2</v>
      </c>
      <c r="E125" s="5">
        <f t="shared" si="12"/>
        <v>1.7500000000000004</v>
      </c>
      <c r="F125" s="1">
        <v>0</v>
      </c>
      <c r="G125" s="1">
        <f t="shared" si="13"/>
        <v>1.7500000000000004</v>
      </c>
    </row>
    <row r="126" spans="1:7" x14ac:dyDescent="0.2">
      <c r="A126" s="1" t="s">
        <v>72</v>
      </c>
      <c r="B126" s="3">
        <v>46577</v>
      </c>
      <c r="C126" s="1">
        <f>C125-F126</f>
        <v>100</v>
      </c>
      <c r="D126" s="4">
        <v>3.5000000000000003E-2</v>
      </c>
      <c r="E126" s="5">
        <f t="shared" si="12"/>
        <v>1.7500000000000004</v>
      </c>
      <c r="F126" s="1">
        <v>0</v>
      </c>
      <c r="G126" s="1">
        <f t="shared" si="13"/>
        <v>1.7500000000000004</v>
      </c>
    </row>
    <row r="127" spans="1:7" x14ac:dyDescent="0.2">
      <c r="A127" s="1" t="s">
        <v>72</v>
      </c>
      <c r="B127" s="3">
        <v>46761</v>
      </c>
      <c r="C127" s="1">
        <f t="shared" ref="C127:C153" si="14">C126-F127</f>
        <v>96.428600000000003</v>
      </c>
      <c r="D127" s="4">
        <v>3.5000000000000003E-2</v>
      </c>
      <c r="E127" s="5">
        <f t="shared" si="12"/>
        <v>1.7500000000000004</v>
      </c>
      <c r="F127" s="1">
        <v>3.5714000000000001</v>
      </c>
      <c r="G127" s="1">
        <f t="shared" si="13"/>
        <v>5.3214000000000006</v>
      </c>
    </row>
    <row r="128" spans="1:7" x14ac:dyDescent="0.2">
      <c r="A128" s="1" t="s">
        <v>72</v>
      </c>
      <c r="B128" s="3">
        <v>46943</v>
      </c>
      <c r="C128" s="1">
        <f t="shared" si="14"/>
        <v>92.857200000000006</v>
      </c>
      <c r="D128" s="4">
        <v>3.5000000000000003E-2</v>
      </c>
      <c r="E128" s="5">
        <f t="shared" si="12"/>
        <v>1.6875005000000005</v>
      </c>
      <c r="F128" s="1">
        <v>3.5714000000000001</v>
      </c>
      <c r="G128" s="1">
        <f t="shared" si="13"/>
        <v>5.2589005000000011</v>
      </c>
    </row>
    <row r="129" spans="1:7" x14ac:dyDescent="0.2">
      <c r="A129" s="1" t="s">
        <v>72</v>
      </c>
      <c r="B129" s="3">
        <v>47127</v>
      </c>
      <c r="C129" s="1">
        <f t="shared" si="14"/>
        <v>89.285800000000009</v>
      </c>
      <c r="D129" s="4">
        <v>3.5000000000000003E-2</v>
      </c>
      <c r="E129" s="5">
        <f t="shared" si="12"/>
        <v>1.6250010000000004</v>
      </c>
      <c r="F129" s="1">
        <v>3.5714000000000001</v>
      </c>
      <c r="G129" s="1">
        <f t="shared" si="13"/>
        <v>5.1964010000000007</v>
      </c>
    </row>
    <row r="130" spans="1:7" x14ac:dyDescent="0.2">
      <c r="A130" s="1" t="s">
        <v>72</v>
      </c>
      <c r="B130" s="3">
        <v>47308</v>
      </c>
      <c r="C130" s="1">
        <f t="shared" si="14"/>
        <v>85.714400000000012</v>
      </c>
      <c r="D130" s="4">
        <v>3.5000000000000003E-2</v>
      </c>
      <c r="E130" s="5">
        <f t="shared" si="12"/>
        <v>1.5625015000000002</v>
      </c>
      <c r="F130" s="1">
        <v>3.5714000000000001</v>
      </c>
      <c r="G130" s="1">
        <f t="shared" si="13"/>
        <v>5.1339015000000003</v>
      </c>
    </row>
    <row r="131" spans="1:7" x14ac:dyDescent="0.2">
      <c r="A131" s="1" t="s">
        <v>72</v>
      </c>
      <c r="B131" s="3">
        <v>47492</v>
      </c>
      <c r="C131" s="1">
        <f t="shared" si="14"/>
        <v>82.143000000000015</v>
      </c>
      <c r="D131" s="4">
        <v>4.8750000000000002E-2</v>
      </c>
      <c r="E131" s="5">
        <f t="shared" si="12"/>
        <v>2.0892885000000003</v>
      </c>
      <c r="F131" s="1">
        <v>3.5714000000000001</v>
      </c>
      <c r="G131" s="1">
        <f t="shared" si="13"/>
        <v>5.6606885000000009</v>
      </c>
    </row>
    <row r="132" spans="1:7" x14ac:dyDescent="0.2">
      <c r="A132" s="1" t="s">
        <v>72</v>
      </c>
      <c r="B132" s="3">
        <v>47673</v>
      </c>
      <c r="C132" s="1">
        <f t="shared" si="14"/>
        <v>78.571600000000018</v>
      </c>
      <c r="D132" s="4">
        <v>4.8750000000000002E-2</v>
      </c>
      <c r="E132" s="5">
        <f t="shared" si="12"/>
        <v>2.0022356250000004</v>
      </c>
      <c r="F132" s="1">
        <v>3.5714000000000001</v>
      </c>
      <c r="G132" s="1">
        <f t="shared" si="13"/>
        <v>5.5736356250000005</v>
      </c>
    </row>
    <row r="133" spans="1:7" x14ac:dyDescent="0.2">
      <c r="A133" s="1" t="s">
        <v>72</v>
      </c>
      <c r="B133" s="3">
        <v>47857</v>
      </c>
      <c r="C133" s="1">
        <f t="shared" si="14"/>
        <v>75.000200000000021</v>
      </c>
      <c r="D133" s="4">
        <v>4.8750000000000002E-2</v>
      </c>
      <c r="E133" s="5">
        <f t="shared" si="12"/>
        <v>1.9151827500000003</v>
      </c>
      <c r="F133" s="1">
        <v>3.5714000000000001</v>
      </c>
      <c r="G133" s="1">
        <f t="shared" si="13"/>
        <v>5.4865827500000002</v>
      </c>
    </row>
    <row r="134" spans="1:7" x14ac:dyDescent="0.2">
      <c r="A134" s="1" t="s">
        <v>72</v>
      </c>
      <c r="B134" s="3">
        <v>48038</v>
      </c>
      <c r="C134" s="1">
        <f t="shared" si="14"/>
        <v>71.428800000000024</v>
      </c>
      <c r="D134" s="4">
        <v>4.8750000000000002E-2</v>
      </c>
      <c r="E134" s="5">
        <f t="shared" si="12"/>
        <v>1.8281298750000006</v>
      </c>
      <c r="F134" s="1">
        <v>3.5714000000000001</v>
      </c>
      <c r="G134" s="1">
        <f t="shared" si="13"/>
        <v>5.3995298750000007</v>
      </c>
    </row>
    <row r="135" spans="1:7" x14ac:dyDescent="0.2">
      <c r="A135" s="1" t="s">
        <v>72</v>
      </c>
      <c r="B135" s="3">
        <v>48222</v>
      </c>
      <c r="C135" s="1">
        <f t="shared" si="14"/>
        <v>67.857400000000027</v>
      </c>
      <c r="D135" s="4">
        <v>4.8750000000000002E-2</v>
      </c>
      <c r="E135" s="5">
        <f t="shared" si="12"/>
        <v>1.7410770000000007</v>
      </c>
      <c r="F135" s="1">
        <v>3.5714000000000001</v>
      </c>
      <c r="G135" s="1">
        <f t="shared" si="13"/>
        <v>5.3124770000000012</v>
      </c>
    </row>
    <row r="136" spans="1:7" x14ac:dyDescent="0.2">
      <c r="A136" s="1" t="s">
        <v>72</v>
      </c>
      <c r="B136" s="3">
        <v>48404</v>
      </c>
      <c r="C136" s="1">
        <f t="shared" si="14"/>
        <v>64.28600000000003</v>
      </c>
      <c r="D136" s="4">
        <v>4.8750000000000002E-2</v>
      </c>
      <c r="E136" s="5">
        <f t="shared" si="12"/>
        <v>1.6540241250000007</v>
      </c>
      <c r="F136" s="1">
        <v>3.5714000000000001</v>
      </c>
      <c r="G136" s="1">
        <f t="shared" si="13"/>
        <v>5.2254241250000009</v>
      </c>
    </row>
    <row r="137" spans="1:7" x14ac:dyDescent="0.2">
      <c r="A137" s="1" t="s">
        <v>72</v>
      </c>
      <c r="B137" s="3">
        <v>48588</v>
      </c>
      <c r="C137" s="1">
        <f t="shared" si="14"/>
        <v>60.714600000000033</v>
      </c>
      <c r="D137" s="4">
        <v>4.8750000000000002E-2</v>
      </c>
      <c r="E137" s="5">
        <f t="shared" si="12"/>
        <v>1.5669712500000008</v>
      </c>
      <c r="F137" s="1">
        <v>3.5714000000000001</v>
      </c>
      <c r="G137" s="1">
        <f t="shared" si="13"/>
        <v>5.1383712500000005</v>
      </c>
    </row>
    <row r="138" spans="1:7" x14ac:dyDescent="0.2">
      <c r="A138" s="1" t="s">
        <v>72</v>
      </c>
      <c r="B138" s="3">
        <v>48769</v>
      </c>
      <c r="C138" s="1">
        <f t="shared" si="14"/>
        <v>57.143200000000036</v>
      </c>
      <c r="D138" s="4">
        <v>4.8750000000000002E-2</v>
      </c>
      <c r="E138" s="5">
        <f t="shared" si="12"/>
        <v>1.4799183750000011</v>
      </c>
      <c r="F138" s="1">
        <v>3.5714000000000001</v>
      </c>
      <c r="G138" s="1">
        <f t="shared" si="13"/>
        <v>5.051318375000001</v>
      </c>
    </row>
    <row r="139" spans="1:7" x14ac:dyDescent="0.2">
      <c r="A139" s="1" t="s">
        <v>72</v>
      </c>
      <c r="B139" s="3">
        <v>48953</v>
      </c>
      <c r="C139" s="1">
        <f t="shared" si="14"/>
        <v>53.571800000000039</v>
      </c>
      <c r="D139" s="4">
        <v>4.8750000000000002E-2</v>
      </c>
      <c r="E139" s="5">
        <f t="shared" si="12"/>
        <v>1.392865500000001</v>
      </c>
      <c r="F139" s="1">
        <v>3.5714000000000001</v>
      </c>
      <c r="G139" s="1">
        <f t="shared" si="13"/>
        <v>4.9642655000000016</v>
      </c>
    </row>
    <row r="140" spans="1:7" x14ac:dyDescent="0.2">
      <c r="A140" s="1" t="s">
        <v>72</v>
      </c>
      <c r="B140" s="3">
        <v>49134</v>
      </c>
      <c r="C140" s="1">
        <f t="shared" si="14"/>
        <v>50.000400000000042</v>
      </c>
      <c r="D140" s="4">
        <v>4.8750000000000002E-2</v>
      </c>
      <c r="E140" s="5">
        <f t="shared" si="12"/>
        <v>1.3058126250000011</v>
      </c>
      <c r="F140" s="1">
        <v>3.5714000000000001</v>
      </c>
      <c r="G140" s="1">
        <f t="shared" si="13"/>
        <v>4.8772126250000012</v>
      </c>
    </row>
    <row r="141" spans="1:7" x14ac:dyDescent="0.2">
      <c r="A141" s="1" t="s">
        <v>72</v>
      </c>
      <c r="B141" s="3">
        <v>49318</v>
      </c>
      <c r="C141" s="1">
        <f t="shared" si="14"/>
        <v>46.429000000000045</v>
      </c>
      <c r="D141" s="4">
        <v>4.8750000000000002E-2</v>
      </c>
      <c r="E141" s="5">
        <f t="shared" si="12"/>
        <v>1.2187597500000011</v>
      </c>
      <c r="F141" s="1">
        <v>3.5714000000000001</v>
      </c>
      <c r="G141" s="1">
        <f t="shared" si="13"/>
        <v>4.7901597500000008</v>
      </c>
    </row>
    <row r="142" spans="1:7" x14ac:dyDescent="0.2">
      <c r="A142" s="1" t="s">
        <v>72</v>
      </c>
      <c r="B142" s="3">
        <v>49499</v>
      </c>
      <c r="C142" s="1">
        <f t="shared" si="14"/>
        <v>42.857600000000048</v>
      </c>
      <c r="D142" s="4">
        <v>4.8750000000000002E-2</v>
      </c>
      <c r="E142" s="5">
        <f t="shared" si="12"/>
        <v>1.1317068750000012</v>
      </c>
      <c r="F142" s="1">
        <v>3.5714000000000001</v>
      </c>
      <c r="G142" s="1">
        <f t="shared" si="13"/>
        <v>4.7031068750000014</v>
      </c>
    </row>
    <row r="143" spans="1:7" x14ac:dyDescent="0.2">
      <c r="A143" s="1" t="s">
        <v>72</v>
      </c>
      <c r="B143" s="3">
        <v>49683</v>
      </c>
      <c r="C143" s="1">
        <f t="shared" si="14"/>
        <v>39.286200000000051</v>
      </c>
      <c r="D143" s="4">
        <v>4.8750000000000002E-2</v>
      </c>
      <c r="E143" s="5">
        <f t="shared" si="12"/>
        <v>1.0446540000000013</v>
      </c>
      <c r="F143" s="1">
        <v>3.5714000000000001</v>
      </c>
      <c r="G143" s="1">
        <f t="shared" si="13"/>
        <v>4.6160540000000019</v>
      </c>
    </row>
    <row r="144" spans="1:7" x14ac:dyDescent="0.2">
      <c r="A144" s="1" t="s">
        <v>72</v>
      </c>
      <c r="B144" s="3">
        <v>49865</v>
      </c>
      <c r="C144" s="1">
        <f t="shared" si="14"/>
        <v>35.714800000000054</v>
      </c>
      <c r="D144" s="4">
        <v>4.8750000000000002E-2</v>
      </c>
      <c r="E144" s="5">
        <f t="shared" si="12"/>
        <v>0.95760112500000127</v>
      </c>
      <c r="F144" s="1">
        <v>3.5714000000000001</v>
      </c>
      <c r="G144" s="1">
        <f t="shared" si="13"/>
        <v>4.5290011250000015</v>
      </c>
    </row>
    <row r="145" spans="1:7" x14ac:dyDescent="0.2">
      <c r="A145" s="1" t="s">
        <v>72</v>
      </c>
      <c r="B145" s="3">
        <v>50049</v>
      </c>
      <c r="C145" s="1">
        <f t="shared" si="14"/>
        <v>32.143400000000057</v>
      </c>
      <c r="D145" s="4">
        <v>4.8750000000000002E-2</v>
      </c>
      <c r="E145" s="5">
        <f t="shared" si="12"/>
        <v>0.87054825000000136</v>
      </c>
      <c r="F145" s="1">
        <v>3.5714000000000001</v>
      </c>
      <c r="G145" s="1">
        <f t="shared" si="13"/>
        <v>4.4419482500000012</v>
      </c>
    </row>
    <row r="146" spans="1:7" x14ac:dyDescent="0.2">
      <c r="A146" s="1" t="s">
        <v>72</v>
      </c>
      <c r="B146" s="3">
        <v>50230</v>
      </c>
      <c r="C146" s="1">
        <f t="shared" si="14"/>
        <v>28.572000000000056</v>
      </c>
      <c r="D146" s="4">
        <v>4.8750000000000002E-2</v>
      </c>
      <c r="E146" s="5">
        <f t="shared" si="12"/>
        <v>0.78349537500000155</v>
      </c>
      <c r="F146" s="1">
        <v>3.5714000000000001</v>
      </c>
      <c r="G146" s="1">
        <f t="shared" si="13"/>
        <v>4.3548953750000017</v>
      </c>
    </row>
    <row r="147" spans="1:7" x14ac:dyDescent="0.2">
      <c r="A147" s="1" t="s">
        <v>72</v>
      </c>
      <c r="B147" s="3">
        <v>50414</v>
      </c>
      <c r="C147" s="1">
        <f t="shared" si="14"/>
        <v>25.000600000000055</v>
      </c>
      <c r="D147" s="4">
        <v>4.8750000000000002E-2</v>
      </c>
      <c r="E147" s="5">
        <f t="shared" si="12"/>
        <v>0.69644250000000141</v>
      </c>
      <c r="F147" s="1">
        <v>3.5714000000000001</v>
      </c>
      <c r="G147" s="1">
        <f t="shared" si="13"/>
        <v>4.2678425000000013</v>
      </c>
    </row>
    <row r="148" spans="1:7" x14ac:dyDescent="0.2">
      <c r="A148" s="1" t="s">
        <v>72</v>
      </c>
      <c r="B148" s="3">
        <v>50595</v>
      </c>
      <c r="C148" s="1">
        <f t="shared" si="14"/>
        <v>21.429200000000055</v>
      </c>
      <c r="D148" s="4">
        <v>4.8750000000000002E-2</v>
      </c>
      <c r="E148" s="5">
        <f t="shared" si="12"/>
        <v>0.60938962500000138</v>
      </c>
      <c r="F148" s="1">
        <v>3.5714000000000001</v>
      </c>
      <c r="G148" s="1">
        <f t="shared" si="13"/>
        <v>4.1807896250000018</v>
      </c>
    </row>
    <row r="149" spans="1:7" x14ac:dyDescent="0.2">
      <c r="A149" s="1" t="s">
        <v>72</v>
      </c>
      <c r="B149" s="3">
        <v>50779</v>
      </c>
      <c r="C149" s="1">
        <f t="shared" si="14"/>
        <v>17.857800000000054</v>
      </c>
      <c r="D149" s="4">
        <v>4.8750000000000002E-2</v>
      </c>
      <c r="E149" s="5">
        <f t="shared" si="12"/>
        <v>0.52233675000000135</v>
      </c>
      <c r="F149" s="1">
        <v>3.5714000000000001</v>
      </c>
      <c r="G149" s="1">
        <f t="shared" si="13"/>
        <v>4.0937367500000015</v>
      </c>
    </row>
    <row r="150" spans="1:7" x14ac:dyDescent="0.2">
      <c r="A150" s="1" t="s">
        <v>72</v>
      </c>
      <c r="B150" s="3">
        <v>50960</v>
      </c>
      <c r="C150" s="1">
        <f t="shared" si="14"/>
        <v>14.286400000000054</v>
      </c>
      <c r="D150" s="4">
        <v>4.8750000000000002E-2</v>
      </c>
      <c r="E150" s="5">
        <f t="shared" si="12"/>
        <v>0.43528387500000132</v>
      </c>
      <c r="F150" s="1">
        <v>3.5714000000000001</v>
      </c>
      <c r="G150" s="1">
        <f t="shared" si="13"/>
        <v>4.0066838750000011</v>
      </c>
    </row>
    <row r="151" spans="1:7" x14ac:dyDescent="0.2">
      <c r="A151" s="1" t="s">
        <v>72</v>
      </c>
      <c r="B151" s="3">
        <v>51144</v>
      </c>
      <c r="C151" s="1">
        <f t="shared" si="14"/>
        <v>10.715000000000053</v>
      </c>
      <c r="D151" s="4">
        <v>4.8750000000000002E-2</v>
      </c>
      <c r="E151" s="5">
        <f t="shared" si="12"/>
        <v>0.34823100000000135</v>
      </c>
      <c r="F151" s="1">
        <v>3.5714000000000001</v>
      </c>
      <c r="G151" s="1">
        <f t="shared" si="13"/>
        <v>3.9196310000000016</v>
      </c>
    </row>
    <row r="152" spans="1:7" x14ac:dyDescent="0.2">
      <c r="A152" s="1" t="s">
        <v>72</v>
      </c>
      <c r="B152" s="3">
        <v>51326</v>
      </c>
      <c r="C152" s="1">
        <f t="shared" si="14"/>
        <v>7.1436000000000526</v>
      </c>
      <c r="D152" s="4">
        <v>4.8750000000000002E-2</v>
      </c>
      <c r="E152" s="5">
        <f t="shared" si="12"/>
        <v>0.26117812500000132</v>
      </c>
      <c r="F152" s="1">
        <v>3.5714000000000001</v>
      </c>
      <c r="G152" s="1">
        <f t="shared" si="13"/>
        <v>3.8325781250000013</v>
      </c>
    </row>
    <row r="153" spans="1:7" x14ac:dyDescent="0.2">
      <c r="A153" s="1" t="s">
        <v>72</v>
      </c>
      <c r="B153" s="3">
        <v>51510</v>
      </c>
      <c r="C153" s="1">
        <f t="shared" si="14"/>
        <v>3.5722000000000524</v>
      </c>
      <c r="D153" s="4">
        <v>4.8750000000000002E-2</v>
      </c>
      <c r="E153" s="5">
        <f t="shared" si="12"/>
        <v>0.17412525000000129</v>
      </c>
      <c r="F153" s="1">
        <v>3.5714000000000001</v>
      </c>
      <c r="G153" s="1">
        <f t="shared" si="13"/>
        <v>3.7455252500000014</v>
      </c>
    </row>
    <row r="154" spans="1:7" x14ac:dyDescent="0.2">
      <c r="A154" s="1" t="s">
        <v>72</v>
      </c>
      <c r="B154" s="3">
        <v>51691</v>
      </c>
      <c r="C154" s="1">
        <v>0</v>
      </c>
      <c r="D154" s="4">
        <v>4.8750000000000002E-2</v>
      </c>
      <c r="E154" s="5">
        <f t="shared" si="12"/>
        <v>8.7072375000001284E-2</v>
      </c>
      <c r="F154" s="1">
        <v>3.5722</v>
      </c>
      <c r="G154" s="1">
        <f t="shared" si="13"/>
        <v>3.6592723750000014</v>
      </c>
    </row>
    <row r="156" spans="1:7" x14ac:dyDescent="0.2">
      <c r="A156" s="2" t="s">
        <v>0</v>
      </c>
      <c r="B156" s="2" t="s">
        <v>10</v>
      </c>
      <c r="C156" s="2" t="s">
        <v>11</v>
      </c>
      <c r="D156" s="2" t="s">
        <v>14</v>
      </c>
      <c r="E156" s="2" t="s">
        <v>12</v>
      </c>
      <c r="F156" s="2" t="s">
        <v>13</v>
      </c>
      <c r="G156" s="2" t="s">
        <v>15</v>
      </c>
    </row>
    <row r="157" spans="1:7" x14ac:dyDescent="0.2">
      <c r="A157" s="1" t="s">
        <v>73</v>
      </c>
      <c r="B157" s="3">
        <v>44078</v>
      </c>
      <c r="C157" s="1">
        <v>100</v>
      </c>
      <c r="D157" s="1">
        <v>0</v>
      </c>
      <c r="E157" s="1">
        <v>0</v>
      </c>
      <c r="F157" s="1">
        <v>0</v>
      </c>
      <c r="G157" s="1">
        <f>F157+E157</f>
        <v>0</v>
      </c>
    </row>
    <row r="158" spans="1:7" x14ac:dyDescent="0.2">
      <c r="A158" s="1" t="s">
        <v>73</v>
      </c>
      <c r="B158" s="3">
        <v>44386</v>
      </c>
      <c r="C158" s="1">
        <v>100</v>
      </c>
      <c r="D158" s="4">
        <v>1.25E-3</v>
      </c>
      <c r="E158" s="5">
        <f t="shared" ref="E158:E198" si="15">((D158*C157)/360)*DAYS360(B157,B158)</f>
        <v>0.10590277777777778</v>
      </c>
      <c r="F158" s="1">
        <v>0</v>
      </c>
      <c r="G158" s="1">
        <f t="shared" ref="G158:G198" si="16">F158+E158</f>
        <v>0.10590277777777778</v>
      </c>
    </row>
    <row r="159" spans="1:7" x14ac:dyDescent="0.2">
      <c r="A159" s="1" t="s">
        <v>73</v>
      </c>
      <c r="B159" s="3">
        <v>44570</v>
      </c>
      <c r="C159" s="1">
        <v>100</v>
      </c>
      <c r="D159" s="4">
        <v>1.125E-2</v>
      </c>
      <c r="E159" s="5">
        <f t="shared" si="15"/>
        <v>0.5625</v>
      </c>
      <c r="F159" s="1">
        <v>0</v>
      </c>
      <c r="G159" s="1">
        <f t="shared" si="16"/>
        <v>0.5625</v>
      </c>
    </row>
    <row r="160" spans="1:7" x14ac:dyDescent="0.2">
      <c r="A160" s="1" t="s">
        <v>73</v>
      </c>
      <c r="B160" s="3">
        <v>44751</v>
      </c>
      <c r="C160" s="1">
        <v>100</v>
      </c>
      <c r="D160" s="4">
        <v>1.125E-2</v>
      </c>
      <c r="E160" s="5">
        <f t="shared" si="15"/>
        <v>0.5625</v>
      </c>
      <c r="F160" s="1">
        <v>0</v>
      </c>
      <c r="G160" s="1">
        <f t="shared" si="16"/>
        <v>0.5625</v>
      </c>
    </row>
    <row r="161" spans="1:7" x14ac:dyDescent="0.2">
      <c r="A161" s="1" t="s">
        <v>73</v>
      </c>
      <c r="B161" s="3">
        <v>44935</v>
      </c>
      <c r="C161" s="1">
        <v>100</v>
      </c>
      <c r="D161" s="4">
        <v>1.4999999999999999E-2</v>
      </c>
      <c r="E161" s="5">
        <f t="shared" si="15"/>
        <v>0.75</v>
      </c>
      <c r="F161" s="1">
        <v>0</v>
      </c>
      <c r="G161" s="1">
        <f t="shared" si="16"/>
        <v>0.75</v>
      </c>
    </row>
    <row r="162" spans="1:7" x14ac:dyDescent="0.2">
      <c r="A162" s="1" t="s">
        <v>73</v>
      </c>
      <c r="B162" s="3">
        <v>45116</v>
      </c>
      <c r="C162" s="1">
        <v>100</v>
      </c>
      <c r="D162" s="4">
        <v>1.4999999999999999E-2</v>
      </c>
      <c r="E162" s="5">
        <f t="shared" si="15"/>
        <v>0.75</v>
      </c>
      <c r="F162" s="1">
        <v>0</v>
      </c>
      <c r="G162" s="1">
        <f t="shared" si="16"/>
        <v>0.75</v>
      </c>
    </row>
    <row r="163" spans="1:7" x14ac:dyDescent="0.2">
      <c r="A163" s="1" t="s">
        <v>73</v>
      </c>
      <c r="B163" s="3">
        <v>45300</v>
      </c>
      <c r="C163" s="1">
        <v>100</v>
      </c>
      <c r="D163" s="4">
        <v>3.6249999999999998E-2</v>
      </c>
      <c r="E163" s="5">
        <f t="shared" si="15"/>
        <v>1.8124999999999998</v>
      </c>
      <c r="F163" s="1">
        <v>0</v>
      </c>
      <c r="G163" s="1">
        <f t="shared" si="16"/>
        <v>1.8124999999999998</v>
      </c>
    </row>
    <row r="164" spans="1:7" x14ac:dyDescent="0.2">
      <c r="A164" s="1" t="s">
        <v>73</v>
      </c>
      <c r="B164" s="3">
        <v>45482</v>
      </c>
      <c r="C164" s="1">
        <v>100</v>
      </c>
      <c r="D164" s="4">
        <v>3.6249999999999998E-2</v>
      </c>
      <c r="E164" s="5">
        <f t="shared" si="15"/>
        <v>1.8124999999999998</v>
      </c>
      <c r="F164" s="1">
        <v>0</v>
      </c>
      <c r="G164" s="1">
        <f t="shared" si="16"/>
        <v>1.8124999999999998</v>
      </c>
    </row>
    <row r="165" spans="1:7" x14ac:dyDescent="0.2">
      <c r="A165" s="1" t="s">
        <v>73</v>
      </c>
      <c r="B165" s="3">
        <v>45666</v>
      </c>
      <c r="C165" s="1">
        <f t="shared" ref="C165:C169" si="17">C164-F165</f>
        <v>97.727272729999996</v>
      </c>
      <c r="D165" s="4">
        <v>4.1250000000000002E-2</v>
      </c>
      <c r="E165" s="5">
        <f t="shared" si="15"/>
        <v>2.0625</v>
      </c>
      <c r="F165" s="1">
        <v>2.2727272699999999</v>
      </c>
      <c r="G165" s="1">
        <f t="shared" si="16"/>
        <v>4.3352272699999999</v>
      </c>
    </row>
    <row r="166" spans="1:7" x14ac:dyDescent="0.2">
      <c r="A166" s="1" t="s">
        <v>73</v>
      </c>
      <c r="B166" s="3">
        <v>45847</v>
      </c>
      <c r="C166" s="1">
        <f t="shared" si="17"/>
        <v>95.454545459999991</v>
      </c>
      <c r="D166" s="4">
        <v>4.1250000000000002E-2</v>
      </c>
      <c r="E166" s="5">
        <f t="shared" si="15"/>
        <v>2.0156250000562501</v>
      </c>
      <c r="F166" s="1">
        <v>2.2727272699999999</v>
      </c>
      <c r="G166" s="1">
        <f t="shared" si="16"/>
        <v>4.28835227005625</v>
      </c>
    </row>
    <row r="167" spans="1:7" x14ac:dyDescent="0.2">
      <c r="A167" s="1" t="s">
        <v>73</v>
      </c>
      <c r="B167" s="3">
        <v>46031</v>
      </c>
      <c r="C167" s="1">
        <f t="shared" si="17"/>
        <v>93.181818189999987</v>
      </c>
      <c r="D167" s="4">
        <v>4.1250000000000002E-2</v>
      </c>
      <c r="E167" s="5">
        <f t="shared" si="15"/>
        <v>1.9687500001124998</v>
      </c>
      <c r="F167" s="1">
        <v>2.2727272699999999</v>
      </c>
      <c r="G167" s="1">
        <f t="shared" si="16"/>
        <v>4.2414772701124992</v>
      </c>
    </row>
    <row r="168" spans="1:7" x14ac:dyDescent="0.2">
      <c r="A168" s="1" t="s">
        <v>73</v>
      </c>
      <c r="B168" s="3">
        <v>46212</v>
      </c>
      <c r="C168" s="1">
        <f t="shared" si="17"/>
        <v>90.909090919999983</v>
      </c>
      <c r="D168" s="4">
        <v>4.1250000000000002E-2</v>
      </c>
      <c r="E168" s="5">
        <f t="shared" si="15"/>
        <v>1.9218750001687501</v>
      </c>
      <c r="F168" s="1">
        <v>2.2727272699999999</v>
      </c>
      <c r="G168" s="1">
        <f t="shared" si="16"/>
        <v>4.1946022701687502</v>
      </c>
    </row>
    <row r="169" spans="1:7" x14ac:dyDescent="0.2">
      <c r="A169" s="1" t="s">
        <v>73</v>
      </c>
      <c r="B169" s="3">
        <v>46396</v>
      </c>
      <c r="C169" s="1">
        <f t="shared" si="17"/>
        <v>88.636363649999979</v>
      </c>
      <c r="D169" s="4">
        <v>4.1250000000000002E-2</v>
      </c>
      <c r="E169" s="5">
        <f t="shared" si="15"/>
        <v>1.875000000225</v>
      </c>
      <c r="F169" s="1">
        <v>2.2727272699999999</v>
      </c>
      <c r="G169" s="1">
        <f t="shared" si="16"/>
        <v>4.1477272702249994</v>
      </c>
    </row>
    <row r="170" spans="1:7" x14ac:dyDescent="0.2">
      <c r="A170" s="1" t="s">
        <v>73</v>
      </c>
      <c r="B170" s="3">
        <v>46577</v>
      </c>
      <c r="C170" s="1">
        <f>C169-F170</f>
        <v>86.363636379999974</v>
      </c>
      <c r="D170" s="4">
        <v>4.1250000000000002E-2</v>
      </c>
      <c r="E170" s="5">
        <f t="shared" si="15"/>
        <v>1.8281250002812497</v>
      </c>
      <c r="F170" s="1">
        <v>2.2727272699999999</v>
      </c>
      <c r="G170" s="1">
        <f t="shared" si="16"/>
        <v>4.1008522702812495</v>
      </c>
    </row>
    <row r="171" spans="1:7" x14ac:dyDescent="0.2">
      <c r="A171" s="1" t="s">
        <v>73</v>
      </c>
      <c r="B171" s="3">
        <v>46761</v>
      </c>
      <c r="C171" s="1">
        <f t="shared" ref="C171:C207" si="18">C170-F171</f>
        <v>84.09090910999997</v>
      </c>
      <c r="D171" s="4">
        <v>4.3749999999999997E-2</v>
      </c>
      <c r="E171" s="5">
        <f t="shared" si="15"/>
        <v>1.8892045458124995</v>
      </c>
      <c r="F171" s="1">
        <v>2.2727272699999999</v>
      </c>
      <c r="G171" s="1">
        <f t="shared" si="16"/>
        <v>4.1619318158124994</v>
      </c>
    </row>
    <row r="172" spans="1:7" x14ac:dyDescent="0.2">
      <c r="A172" s="1" t="s">
        <v>73</v>
      </c>
      <c r="B172" s="3">
        <v>46943</v>
      </c>
      <c r="C172" s="1">
        <f t="shared" si="18"/>
        <v>81.818181839999966</v>
      </c>
      <c r="D172" s="4">
        <v>4.3749999999999997E-2</v>
      </c>
      <c r="E172" s="5">
        <f t="shared" si="15"/>
        <v>1.8394886367812493</v>
      </c>
      <c r="F172" s="1">
        <v>2.2727272699999999</v>
      </c>
      <c r="G172" s="1">
        <f t="shared" si="16"/>
        <v>4.1122159067812492</v>
      </c>
    </row>
    <row r="173" spans="1:7" x14ac:dyDescent="0.2">
      <c r="A173" s="1" t="s">
        <v>73</v>
      </c>
      <c r="B173" s="3">
        <v>47127</v>
      </c>
      <c r="C173" s="1">
        <f t="shared" si="18"/>
        <v>79.545454569999961</v>
      </c>
      <c r="D173" s="4">
        <v>0.05</v>
      </c>
      <c r="E173" s="5">
        <f t="shared" si="15"/>
        <v>2.0454545459999993</v>
      </c>
      <c r="F173" s="1">
        <v>2.2727272699999999</v>
      </c>
      <c r="G173" s="1">
        <f t="shared" si="16"/>
        <v>4.3181818159999992</v>
      </c>
    </row>
    <row r="174" spans="1:7" x14ac:dyDescent="0.2">
      <c r="A174" s="1" t="s">
        <v>73</v>
      </c>
      <c r="B174" s="3">
        <v>47308</v>
      </c>
      <c r="C174" s="1">
        <f t="shared" si="18"/>
        <v>77.272727299999957</v>
      </c>
      <c r="D174" s="4">
        <v>0.05</v>
      </c>
      <c r="E174" s="5">
        <f t="shared" si="15"/>
        <v>1.9886363642499991</v>
      </c>
      <c r="F174" s="1">
        <v>2.2727272699999999</v>
      </c>
      <c r="G174" s="1">
        <f t="shared" si="16"/>
        <v>4.2613636342499994</v>
      </c>
    </row>
    <row r="175" spans="1:7" x14ac:dyDescent="0.2">
      <c r="A175" s="1" t="s">
        <v>73</v>
      </c>
      <c r="B175" s="3">
        <v>47492</v>
      </c>
      <c r="C175" s="1">
        <f t="shared" si="18"/>
        <v>75.000000029999953</v>
      </c>
      <c r="D175" s="4">
        <v>0.05</v>
      </c>
      <c r="E175" s="5">
        <f t="shared" si="15"/>
        <v>1.9318181824999989</v>
      </c>
      <c r="F175" s="1">
        <v>2.2727272699999999</v>
      </c>
      <c r="G175" s="1">
        <f t="shared" si="16"/>
        <v>4.2045454524999988</v>
      </c>
    </row>
    <row r="176" spans="1:7" x14ac:dyDescent="0.2">
      <c r="A176" s="1" t="s">
        <v>73</v>
      </c>
      <c r="B176" s="3">
        <v>47673</v>
      </c>
      <c r="C176" s="1">
        <f t="shared" si="18"/>
        <v>72.727272759999948</v>
      </c>
      <c r="D176" s="4">
        <v>0.05</v>
      </c>
      <c r="E176" s="5">
        <f t="shared" si="15"/>
        <v>1.875000000749999</v>
      </c>
      <c r="F176" s="1">
        <v>2.2727272699999999</v>
      </c>
      <c r="G176" s="1">
        <f t="shared" si="16"/>
        <v>4.147727270749999</v>
      </c>
    </row>
    <row r="177" spans="1:7" x14ac:dyDescent="0.2">
      <c r="A177" s="1" t="s">
        <v>73</v>
      </c>
      <c r="B177" s="3">
        <v>47857</v>
      </c>
      <c r="C177" s="1">
        <f t="shared" si="18"/>
        <v>70.454545489999944</v>
      </c>
      <c r="D177" s="4">
        <v>0.05</v>
      </c>
      <c r="E177" s="5">
        <f t="shared" si="15"/>
        <v>1.8181818189999988</v>
      </c>
      <c r="F177" s="1">
        <v>2.2727272699999999</v>
      </c>
      <c r="G177" s="1">
        <f t="shared" si="16"/>
        <v>4.0909090889999984</v>
      </c>
    </row>
    <row r="178" spans="1:7" x14ac:dyDescent="0.2">
      <c r="A178" s="1" t="s">
        <v>73</v>
      </c>
      <c r="B178" s="3">
        <v>48038</v>
      </c>
      <c r="C178" s="1">
        <f t="shared" si="18"/>
        <v>68.18181821999994</v>
      </c>
      <c r="D178" s="4">
        <v>0.05</v>
      </c>
      <c r="E178" s="5">
        <f t="shared" si="15"/>
        <v>1.7613636372499988</v>
      </c>
      <c r="F178" s="1">
        <v>2.2727272699999999</v>
      </c>
      <c r="G178" s="1">
        <f t="shared" si="16"/>
        <v>4.0340909072499986</v>
      </c>
    </row>
    <row r="179" spans="1:7" x14ac:dyDescent="0.2">
      <c r="A179" s="1" t="s">
        <v>73</v>
      </c>
      <c r="B179" s="3">
        <v>48222</v>
      </c>
      <c r="C179" s="1">
        <f t="shared" si="18"/>
        <v>65.909090949999936</v>
      </c>
      <c r="D179" s="4">
        <v>0.05</v>
      </c>
      <c r="E179" s="5">
        <f t="shared" si="15"/>
        <v>1.7045454554999986</v>
      </c>
      <c r="F179" s="1">
        <v>2.2727272699999999</v>
      </c>
      <c r="G179" s="1">
        <f t="shared" si="16"/>
        <v>3.9772727254999984</v>
      </c>
    </row>
    <row r="180" spans="1:7" x14ac:dyDescent="0.2">
      <c r="A180" s="1" t="s">
        <v>73</v>
      </c>
      <c r="B180" s="3">
        <v>48404</v>
      </c>
      <c r="C180" s="1">
        <f t="shared" si="18"/>
        <v>63.636363679999938</v>
      </c>
      <c r="D180" s="4">
        <v>0.05</v>
      </c>
      <c r="E180" s="5">
        <f t="shared" si="15"/>
        <v>1.6477272737499984</v>
      </c>
      <c r="F180" s="1">
        <v>2.2727272699999999</v>
      </c>
      <c r="G180" s="1">
        <f t="shared" si="16"/>
        <v>3.9204545437499982</v>
      </c>
    </row>
    <row r="181" spans="1:7" x14ac:dyDescent="0.2">
      <c r="A181" s="1" t="s">
        <v>73</v>
      </c>
      <c r="B181" s="3">
        <v>48588</v>
      </c>
      <c r="C181" s="1">
        <f t="shared" si="18"/>
        <v>61.363636409999941</v>
      </c>
      <c r="D181" s="4">
        <v>0.05</v>
      </c>
      <c r="E181" s="5">
        <f t="shared" si="15"/>
        <v>1.5909090919999986</v>
      </c>
      <c r="F181" s="1">
        <v>2.2727272699999999</v>
      </c>
      <c r="G181" s="1">
        <f t="shared" si="16"/>
        <v>3.8636363619999985</v>
      </c>
    </row>
    <row r="182" spans="1:7" x14ac:dyDescent="0.2">
      <c r="A182" s="1" t="s">
        <v>73</v>
      </c>
      <c r="B182" s="3">
        <v>48769</v>
      </c>
      <c r="C182" s="1">
        <f t="shared" si="18"/>
        <v>59.090909139999944</v>
      </c>
      <c r="D182" s="4">
        <v>0.05</v>
      </c>
      <c r="E182" s="5">
        <f t="shared" si="15"/>
        <v>1.5340909102499987</v>
      </c>
      <c r="F182" s="1">
        <v>2.2727272699999999</v>
      </c>
      <c r="G182" s="1">
        <f t="shared" si="16"/>
        <v>3.8068181802499987</v>
      </c>
    </row>
    <row r="183" spans="1:7" x14ac:dyDescent="0.2">
      <c r="A183" s="1" t="s">
        <v>73</v>
      </c>
      <c r="B183" s="3">
        <v>48953</v>
      </c>
      <c r="C183" s="1">
        <f t="shared" si="18"/>
        <v>56.818181869999947</v>
      </c>
      <c r="D183" s="4">
        <v>0.05</v>
      </c>
      <c r="E183" s="5">
        <f t="shared" si="15"/>
        <v>1.4772727284999989</v>
      </c>
      <c r="F183" s="1">
        <v>2.2727272699999999</v>
      </c>
      <c r="G183" s="1">
        <f t="shared" si="16"/>
        <v>3.749999998499999</v>
      </c>
    </row>
    <row r="184" spans="1:7" x14ac:dyDescent="0.2">
      <c r="A184" s="1" t="s">
        <v>73</v>
      </c>
      <c r="B184" s="3">
        <v>49134</v>
      </c>
      <c r="C184" s="1">
        <f t="shared" si="18"/>
        <v>54.54545459999995</v>
      </c>
      <c r="D184" s="4">
        <v>0.05</v>
      </c>
      <c r="E184" s="5">
        <f t="shared" si="15"/>
        <v>1.4204545467499987</v>
      </c>
      <c r="F184" s="1">
        <v>2.2727272699999999</v>
      </c>
      <c r="G184" s="1">
        <f t="shared" si="16"/>
        <v>3.6931818167499983</v>
      </c>
    </row>
    <row r="185" spans="1:7" x14ac:dyDescent="0.2">
      <c r="A185" s="1" t="s">
        <v>73</v>
      </c>
      <c r="B185" s="3">
        <v>49318</v>
      </c>
      <c r="C185" s="1">
        <f t="shared" si="18"/>
        <v>52.272727329999952</v>
      </c>
      <c r="D185" s="4">
        <v>0.05</v>
      </c>
      <c r="E185" s="5">
        <f t="shared" si="15"/>
        <v>1.3636363649999987</v>
      </c>
      <c r="F185" s="1">
        <v>2.2727272699999999</v>
      </c>
      <c r="G185" s="1">
        <f t="shared" si="16"/>
        <v>3.6363636349999986</v>
      </c>
    </row>
    <row r="186" spans="1:7" x14ac:dyDescent="0.2">
      <c r="A186" s="1" t="s">
        <v>73</v>
      </c>
      <c r="B186" s="3">
        <v>49499</v>
      </c>
      <c r="C186" s="1">
        <f t="shared" si="18"/>
        <v>50.000000059999955</v>
      </c>
      <c r="D186" s="4">
        <v>0.05</v>
      </c>
      <c r="E186" s="5">
        <f t="shared" si="15"/>
        <v>1.306818183249999</v>
      </c>
      <c r="F186" s="1">
        <v>2.2727272699999999</v>
      </c>
      <c r="G186" s="1">
        <f t="shared" si="16"/>
        <v>3.5795454532499988</v>
      </c>
    </row>
    <row r="187" spans="1:7" x14ac:dyDescent="0.2">
      <c r="A187" s="1" t="s">
        <v>73</v>
      </c>
      <c r="B187" s="3">
        <v>49683</v>
      </c>
      <c r="C187" s="1">
        <f t="shared" si="18"/>
        <v>47.727272789999958</v>
      </c>
      <c r="D187" s="4">
        <v>0.05</v>
      </c>
      <c r="E187" s="5">
        <f t="shared" si="15"/>
        <v>1.250000001499999</v>
      </c>
      <c r="F187" s="1">
        <v>2.2727272699999999</v>
      </c>
      <c r="G187" s="1">
        <f t="shared" si="16"/>
        <v>3.5227272714999991</v>
      </c>
    </row>
    <row r="188" spans="1:7" x14ac:dyDescent="0.2">
      <c r="A188" s="1" t="s">
        <v>73</v>
      </c>
      <c r="B188" s="3">
        <v>49865</v>
      </c>
      <c r="C188" s="1">
        <f t="shared" si="18"/>
        <v>45.454545519999961</v>
      </c>
      <c r="D188" s="4">
        <v>0.05</v>
      </c>
      <c r="E188" s="5">
        <f t="shared" si="15"/>
        <v>1.193181819749999</v>
      </c>
      <c r="F188" s="1">
        <v>2.2727272699999999</v>
      </c>
      <c r="G188" s="1">
        <f t="shared" si="16"/>
        <v>3.4659090897499989</v>
      </c>
    </row>
    <row r="189" spans="1:7" x14ac:dyDescent="0.2">
      <c r="A189" s="1" t="s">
        <v>73</v>
      </c>
      <c r="B189" s="3">
        <v>50049</v>
      </c>
      <c r="C189" s="1">
        <f t="shared" si="18"/>
        <v>43.181818249999964</v>
      </c>
      <c r="D189" s="4">
        <v>0.05</v>
      </c>
      <c r="E189" s="5">
        <f t="shared" si="15"/>
        <v>1.1363636379999991</v>
      </c>
      <c r="F189" s="1">
        <v>2.2727272699999999</v>
      </c>
      <c r="G189" s="1">
        <f t="shared" si="16"/>
        <v>3.4090909079999987</v>
      </c>
    </row>
    <row r="190" spans="1:7" x14ac:dyDescent="0.2">
      <c r="A190" s="1" t="s">
        <v>73</v>
      </c>
      <c r="B190" s="3">
        <v>50230</v>
      </c>
      <c r="C190" s="1">
        <f t="shared" si="18"/>
        <v>40.909090979999966</v>
      </c>
      <c r="D190" s="4">
        <v>0.05</v>
      </c>
      <c r="E190" s="5">
        <f t="shared" si="15"/>
        <v>1.0795454562499991</v>
      </c>
      <c r="F190" s="1">
        <v>2.2727272699999999</v>
      </c>
      <c r="G190" s="1">
        <f t="shared" si="16"/>
        <v>3.3522727262499989</v>
      </c>
    </row>
    <row r="191" spans="1:7" x14ac:dyDescent="0.2">
      <c r="A191" s="1" t="s">
        <v>73</v>
      </c>
      <c r="B191" s="3">
        <v>50414</v>
      </c>
      <c r="C191" s="1">
        <f t="shared" si="18"/>
        <v>38.636363709999969</v>
      </c>
      <c r="D191" s="4">
        <v>0.05</v>
      </c>
      <c r="E191" s="5">
        <f t="shared" si="15"/>
        <v>1.0227272744999991</v>
      </c>
      <c r="F191" s="1">
        <v>2.2727272699999999</v>
      </c>
      <c r="G191" s="1">
        <f t="shared" si="16"/>
        <v>3.2954545444999992</v>
      </c>
    </row>
    <row r="192" spans="1:7" x14ac:dyDescent="0.2">
      <c r="A192" s="1" t="s">
        <v>73</v>
      </c>
      <c r="B192" s="3">
        <v>50595</v>
      </c>
      <c r="C192" s="1">
        <f t="shared" si="18"/>
        <v>36.363636439999972</v>
      </c>
      <c r="D192" s="4">
        <v>0.05</v>
      </c>
      <c r="E192" s="5">
        <f t="shared" si="15"/>
        <v>0.96590909274999925</v>
      </c>
      <c r="F192" s="1">
        <v>2.2727272699999999</v>
      </c>
      <c r="G192" s="1">
        <f t="shared" si="16"/>
        <v>3.238636362749999</v>
      </c>
    </row>
    <row r="193" spans="1:7" x14ac:dyDescent="0.2">
      <c r="A193" s="1" t="s">
        <v>73</v>
      </c>
      <c r="B193" s="3">
        <v>50779</v>
      </c>
      <c r="C193" s="1">
        <f t="shared" si="18"/>
        <v>34.090909169999975</v>
      </c>
      <c r="D193" s="4">
        <v>0.05</v>
      </c>
      <c r="E193" s="5">
        <f t="shared" si="15"/>
        <v>0.90909091099999939</v>
      </c>
      <c r="F193" s="1">
        <v>2.2727272699999999</v>
      </c>
      <c r="G193" s="1">
        <f t="shared" si="16"/>
        <v>3.1818181809999992</v>
      </c>
    </row>
    <row r="194" spans="1:7" x14ac:dyDescent="0.2">
      <c r="A194" s="1" t="s">
        <v>73</v>
      </c>
      <c r="B194" s="3">
        <v>50960</v>
      </c>
      <c r="C194" s="1">
        <f t="shared" si="18"/>
        <v>31.818181899999974</v>
      </c>
      <c r="D194" s="4">
        <v>0.05</v>
      </c>
      <c r="E194" s="5">
        <f t="shared" si="15"/>
        <v>0.85227272924999942</v>
      </c>
      <c r="F194" s="1">
        <v>2.2727272699999999</v>
      </c>
      <c r="G194" s="1">
        <f t="shared" si="16"/>
        <v>3.124999999249999</v>
      </c>
    </row>
    <row r="195" spans="1:7" x14ac:dyDescent="0.2">
      <c r="A195" s="1" t="s">
        <v>73</v>
      </c>
      <c r="B195" s="3">
        <v>51144</v>
      </c>
      <c r="C195" s="1">
        <f t="shared" si="18"/>
        <v>29.545454629999973</v>
      </c>
      <c r="D195" s="4">
        <v>0.05</v>
      </c>
      <c r="E195" s="5">
        <f t="shared" si="15"/>
        <v>0.79545454749999944</v>
      </c>
      <c r="F195" s="1">
        <v>2.2727272699999999</v>
      </c>
      <c r="G195" s="1">
        <f t="shared" si="16"/>
        <v>3.0681818174999993</v>
      </c>
    </row>
    <row r="196" spans="1:7" x14ac:dyDescent="0.2">
      <c r="A196" s="1" t="s">
        <v>73</v>
      </c>
      <c r="B196" s="3">
        <v>51326</v>
      </c>
      <c r="C196" s="1">
        <f t="shared" si="18"/>
        <v>27.272727359999973</v>
      </c>
      <c r="D196" s="4">
        <v>0.05</v>
      </c>
      <c r="E196" s="5">
        <f t="shared" si="15"/>
        <v>0.73863636574999936</v>
      </c>
      <c r="F196" s="1">
        <v>2.2727272699999999</v>
      </c>
      <c r="G196" s="1">
        <f t="shared" si="16"/>
        <v>3.0113636357499991</v>
      </c>
    </row>
    <row r="197" spans="1:7" x14ac:dyDescent="0.2">
      <c r="A197" s="1" t="s">
        <v>73</v>
      </c>
      <c r="B197" s="3">
        <v>51510</v>
      </c>
      <c r="C197" s="1">
        <f t="shared" si="18"/>
        <v>25.000000089999972</v>
      </c>
      <c r="D197" s="4">
        <v>0.05</v>
      </c>
      <c r="E197" s="5">
        <f t="shared" si="15"/>
        <v>0.68181818399999938</v>
      </c>
      <c r="F197" s="1">
        <v>2.2727272699999999</v>
      </c>
      <c r="G197" s="1">
        <f t="shared" si="16"/>
        <v>2.9545454539999993</v>
      </c>
    </row>
    <row r="198" spans="1:7" x14ac:dyDescent="0.2">
      <c r="A198" s="1" t="s">
        <v>73</v>
      </c>
      <c r="B198" s="3">
        <v>51691</v>
      </c>
      <c r="C198" s="1">
        <f t="shared" si="18"/>
        <v>22.727272819999971</v>
      </c>
      <c r="D198" s="4">
        <v>0.05</v>
      </c>
      <c r="E198" s="5">
        <f t="shared" si="15"/>
        <v>0.6250000022499993</v>
      </c>
      <c r="F198" s="1">
        <v>2.2727272699999999</v>
      </c>
      <c r="G198" s="1">
        <f t="shared" si="16"/>
        <v>2.8977272722499992</v>
      </c>
    </row>
    <row r="199" spans="1:7" x14ac:dyDescent="0.2">
      <c r="A199" s="1" t="s">
        <v>73</v>
      </c>
      <c r="B199" s="3">
        <v>51875</v>
      </c>
      <c r="C199" s="1">
        <f t="shared" si="18"/>
        <v>20.45454554999997</v>
      </c>
      <c r="D199" s="4">
        <v>0.05</v>
      </c>
      <c r="E199" s="5">
        <f t="shared" ref="E199:E208" si="19">((D199*C198)/360)*DAYS360(B198,B199)</f>
        <v>0.56818182049999932</v>
      </c>
      <c r="F199" s="1">
        <v>2.2727272699999999</v>
      </c>
      <c r="G199" s="1">
        <f t="shared" ref="G199:G208" si="20">F199+E199</f>
        <v>2.8409090904999994</v>
      </c>
    </row>
    <row r="200" spans="1:7" x14ac:dyDescent="0.2">
      <c r="A200" s="1" t="s">
        <v>73</v>
      </c>
      <c r="B200" s="3">
        <v>52056</v>
      </c>
      <c r="C200" s="1">
        <f t="shared" si="18"/>
        <v>18.18181827999997</v>
      </c>
      <c r="D200" s="4">
        <v>0.05</v>
      </c>
      <c r="E200" s="5">
        <f t="shared" si="19"/>
        <v>0.51136363874999924</v>
      </c>
      <c r="F200" s="1">
        <v>2.2727272699999999</v>
      </c>
      <c r="G200" s="1">
        <f t="shared" si="20"/>
        <v>2.7840909087499992</v>
      </c>
    </row>
    <row r="201" spans="1:7" x14ac:dyDescent="0.2">
      <c r="A201" s="1" t="s">
        <v>73</v>
      </c>
      <c r="B201" s="3">
        <v>52240</v>
      </c>
      <c r="C201" s="1">
        <f t="shared" si="18"/>
        <v>15.909091009999969</v>
      </c>
      <c r="D201" s="4">
        <v>0.05</v>
      </c>
      <c r="E201" s="5">
        <f t="shared" si="19"/>
        <v>0.45454545699999926</v>
      </c>
      <c r="F201" s="1">
        <v>2.2727272699999999</v>
      </c>
      <c r="G201" s="1">
        <f t="shared" si="20"/>
        <v>2.727272726999999</v>
      </c>
    </row>
    <row r="202" spans="1:7" x14ac:dyDescent="0.2">
      <c r="A202" s="1" t="s">
        <v>73</v>
      </c>
      <c r="B202" s="3">
        <v>52421</v>
      </c>
      <c r="C202" s="1">
        <f t="shared" si="18"/>
        <v>13.636363739999968</v>
      </c>
      <c r="D202" s="4">
        <v>0.05</v>
      </c>
      <c r="E202" s="5">
        <f t="shared" si="19"/>
        <v>0.39772727524999929</v>
      </c>
      <c r="F202" s="1">
        <v>2.2727272699999999</v>
      </c>
      <c r="G202" s="1">
        <f t="shared" si="20"/>
        <v>2.6704545452499993</v>
      </c>
    </row>
    <row r="203" spans="1:7" x14ac:dyDescent="0.2">
      <c r="A203" s="1" t="s">
        <v>73</v>
      </c>
      <c r="B203" s="3">
        <v>52605</v>
      </c>
      <c r="C203" s="1">
        <f t="shared" si="18"/>
        <v>11.363636469999967</v>
      </c>
      <c r="D203" s="4">
        <v>0.05</v>
      </c>
      <c r="E203" s="5">
        <f t="shared" si="19"/>
        <v>0.34090909349999921</v>
      </c>
      <c r="F203" s="1">
        <v>2.2727272699999999</v>
      </c>
      <c r="G203" s="1">
        <f t="shared" si="20"/>
        <v>2.6136363634999991</v>
      </c>
    </row>
    <row r="204" spans="1:7" x14ac:dyDescent="0.2">
      <c r="A204" s="1" t="s">
        <v>73</v>
      </c>
      <c r="B204" s="3">
        <v>52787</v>
      </c>
      <c r="C204" s="1">
        <f t="shared" si="18"/>
        <v>9.0909091999999667</v>
      </c>
      <c r="D204" s="4">
        <v>0.05</v>
      </c>
      <c r="E204" s="5">
        <f t="shared" si="19"/>
        <v>0.28409091174999918</v>
      </c>
      <c r="F204" s="1">
        <v>2.2727272699999999</v>
      </c>
      <c r="G204" s="1">
        <f t="shared" si="20"/>
        <v>2.5568181817499989</v>
      </c>
    </row>
    <row r="205" spans="1:7" x14ac:dyDescent="0.2">
      <c r="A205" s="1" t="s">
        <v>73</v>
      </c>
      <c r="B205" s="3">
        <v>52971</v>
      </c>
      <c r="C205" s="1">
        <f t="shared" si="18"/>
        <v>6.8181819299999669</v>
      </c>
      <c r="D205" s="4">
        <v>0.05</v>
      </c>
      <c r="E205" s="5">
        <f t="shared" si="19"/>
        <v>0.22727272999999917</v>
      </c>
      <c r="F205" s="1">
        <v>2.2727272699999999</v>
      </c>
      <c r="G205" s="1">
        <f t="shared" si="20"/>
        <v>2.4999999999999991</v>
      </c>
    </row>
    <row r="206" spans="1:7" x14ac:dyDescent="0.2">
      <c r="A206" s="1" t="s">
        <v>73</v>
      </c>
      <c r="B206" s="3">
        <v>53152</v>
      </c>
      <c r="C206" s="1">
        <f t="shared" si="18"/>
        <v>4.545454659999967</v>
      </c>
      <c r="D206" s="4">
        <v>0.05</v>
      </c>
      <c r="E206" s="5">
        <f t="shared" si="19"/>
        <v>0.17045454824999917</v>
      </c>
      <c r="F206" s="1">
        <v>2.2727272699999999</v>
      </c>
      <c r="G206" s="1">
        <f t="shared" si="20"/>
        <v>2.4431818182499989</v>
      </c>
    </row>
    <row r="207" spans="1:7" x14ac:dyDescent="0.2">
      <c r="A207" s="1" t="s">
        <v>73</v>
      </c>
      <c r="B207" s="3">
        <v>53336</v>
      </c>
      <c r="C207" s="1">
        <f t="shared" si="18"/>
        <v>2.2727273899999672</v>
      </c>
      <c r="D207" s="4">
        <v>0.05</v>
      </c>
      <c r="E207" s="5">
        <f t="shared" si="19"/>
        <v>0.11363636649999918</v>
      </c>
      <c r="F207" s="1">
        <v>2.2727272699999999</v>
      </c>
      <c r="G207" s="1">
        <f t="shared" si="20"/>
        <v>2.3863636364999992</v>
      </c>
    </row>
    <row r="208" spans="1:7" x14ac:dyDescent="0.2">
      <c r="A208" s="1" t="s">
        <v>73</v>
      </c>
      <c r="B208" s="3">
        <v>53517</v>
      </c>
      <c r="C208" s="1">
        <v>0</v>
      </c>
      <c r="D208" s="4">
        <v>0.05</v>
      </c>
      <c r="E208" s="5">
        <f t="shared" si="19"/>
        <v>5.6818184749999182E-2</v>
      </c>
      <c r="F208" s="1">
        <v>2.2727272699999999</v>
      </c>
      <c r="G208" s="1">
        <f t="shared" si="20"/>
        <v>2.329545454749999</v>
      </c>
    </row>
    <row r="209" spans="1:7" x14ac:dyDescent="0.2">
      <c r="A209" s="1"/>
      <c r="B209" s="3"/>
      <c r="C209" s="1"/>
      <c r="D209" s="4"/>
      <c r="E209" s="5"/>
      <c r="F209" s="1"/>
      <c r="G209" s="1"/>
    </row>
    <row r="210" spans="1:7" x14ac:dyDescent="0.2">
      <c r="A210" s="1"/>
      <c r="B210" s="3"/>
      <c r="C210" s="1"/>
      <c r="D210" s="4"/>
      <c r="E210" s="5"/>
      <c r="F210" s="1"/>
      <c r="G210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94C8-E751-45DD-BADE-8391DD033366}">
  <dimension ref="A1:G55"/>
  <sheetViews>
    <sheetView topLeftCell="A31" workbookViewId="0">
      <selection activeCell="D44" sqref="D44"/>
    </sheetView>
  </sheetViews>
  <sheetFormatPr baseColWidth="10" defaultRowHeight="15" x14ac:dyDescent="0.2"/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2" spans="1:7" x14ac:dyDescent="0.2">
      <c r="A2" s="1" t="s">
        <v>78</v>
      </c>
      <c r="B2" s="3">
        <v>45296</v>
      </c>
      <c r="C2" s="1">
        <v>100</v>
      </c>
      <c r="D2" s="1">
        <v>0</v>
      </c>
      <c r="E2" s="1">
        <v>0</v>
      </c>
      <c r="F2" s="1">
        <v>0</v>
      </c>
      <c r="G2" s="1">
        <f>F2+E2</f>
        <v>0</v>
      </c>
    </row>
    <row r="3" spans="1:7" x14ac:dyDescent="0.2">
      <c r="A3" s="1" t="s">
        <v>78</v>
      </c>
      <c r="B3" s="3">
        <v>45596</v>
      </c>
      <c r="C3" s="1">
        <v>100</v>
      </c>
      <c r="D3" s="4">
        <v>0.05</v>
      </c>
      <c r="E3" s="5">
        <f t="shared" ref="E3" si="0">((D3*C2)/360)*DAYS360(B2,B3)</f>
        <v>4.1111111111111107</v>
      </c>
      <c r="F3" s="1">
        <v>0</v>
      </c>
      <c r="G3" s="1">
        <f t="shared" ref="G3" si="1">F3+E3</f>
        <v>4.1111111111111107</v>
      </c>
    </row>
    <row r="4" spans="1:7" x14ac:dyDescent="0.2">
      <c r="A4" s="1" t="s">
        <v>78</v>
      </c>
      <c r="B4" s="3">
        <v>45777</v>
      </c>
      <c r="C4" s="1">
        <v>100</v>
      </c>
      <c r="D4" s="4">
        <v>0.05</v>
      </c>
      <c r="E4" s="5">
        <f t="shared" ref="E4:E9" si="2">((D4*C3)/360)*DAYS360(B3,B4)</f>
        <v>2.5</v>
      </c>
      <c r="F4" s="1">
        <v>0</v>
      </c>
      <c r="G4" s="1">
        <f t="shared" ref="G4:G9" si="3">F4+E4</f>
        <v>2.5</v>
      </c>
    </row>
    <row r="5" spans="1:7" x14ac:dyDescent="0.2">
      <c r="A5" s="1" t="s">
        <v>78</v>
      </c>
      <c r="B5" s="3">
        <v>45961</v>
      </c>
      <c r="C5" s="1">
        <v>100</v>
      </c>
      <c r="D5" s="4">
        <v>0.05</v>
      </c>
      <c r="E5" s="5">
        <f t="shared" si="2"/>
        <v>2.5</v>
      </c>
      <c r="F5" s="1">
        <v>0</v>
      </c>
      <c r="G5" s="1">
        <f t="shared" si="3"/>
        <v>2.5</v>
      </c>
    </row>
    <row r="6" spans="1:7" x14ac:dyDescent="0.2">
      <c r="A6" s="1" t="s">
        <v>78</v>
      </c>
      <c r="B6" s="3">
        <v>46142</v>
      </c>
      <c r="C6" s="1">
        <v>100</v>
      </c>
      <c r="D6" s="4">
        <v>0.05</v>
      </c>
      <c r="E6" s="5">
        <f t="shared" si="2"/>
        <v>2.5</v>
      </c>
      <c r="F6" s="1">
        <v>0</v>
      </c>
      <c r="G6" s="1">
        <f t="shared" si="3"/>
        <v>2.5</v>
      </c>
    </row>
    <row r="7" spans="1:7" x14ac:dyDescent="0.2">
      <c r="A7" s="1" t="s">
        <v>78</v>
      </c>
      <c r="B7" s="3">
        <v>46326</v>
      </c>
      <c r="C7" s="1">
        <v>100</v>
      </c>
      <c r="D7" s="4">
        <v>0.05</v>
      </c>
      <c r="E7" s="5">
        <f t="shared" si="2"/>
        <v>2.5</v>
      </c>
      <c r="F7" s="1">
        <v>0</v>
      </c>
      <c r="G7" s="1">
        <f t="shared" si="3"/>
        <v>2.5</v>
      </c>
    </row>
    <row r="8" spans="1:7" x14ac:dyDescent="0.2">
      <c r="A8" s="1" t="s">
        <v>78</v>
      </c>
      <c r="B8" s="3">
        <v>46507</v>
      </c>
      <c r="C8" s="1">
        <f>C7-F8</f>
        <v>50</v>
      </c>
      <c r="D8" s="4">
        <v>0.05</v>
      </c>
      <c r="E8" s="5">
        <f t="shared" si="2"/>
        <v>2.5</v>
      </c>
      <c r="F8" s="1">
        <v>50</v>
      </c>
      <c r="G8" s="1">
        <f t="shared" si="3"/>
        <v>52.5</v>
      </c>
    </row>
    <row r="9" spans="1:7" x14ac:dyDescent="0.2">
      <c r="A9" s="1" t="s">
        <v>78</v>
      </c>
      <c r="B9" s="3">
        <v>46691</v>
      </c>
      <c r="C9" s="1">
        <f>C8-F9</f>
        <v>0</v>
      </c>
      <c r="D9" s="4">
        <v>0.05</v>
      </c>
      <c r="E9" s="5">
        <f t="shared" si="2"/>
        <v>1.25</v>
      </c>
      <c r="F9" s="1">
        <v>50</v>
      </c>
      <c r="G9" s="1">
        <f t="shared" si="3"/>
        <v>51.25</v>
      </c>
    </row>
    <row r="11" spans="1:7" x14ac:dyDescent="0.2">
      <c r="A11" s="2" t="s">
        <v>0</v>
      </c>
      <c r="B11" s="2" t="s">
        <v>10</v>
      </c>
      <c r="C11" s="2" t="s">
        <v>11</v>
      </c>
      <c r="D11" s="2" t="s">
        <v>14</v>
      </c>
      <c r="E11" s="2" t="s">
        <v>12</v>
      </c>
      <c r="F11" s="2" t="s">
        <v>13</v>
      </c>
      <c r="G11" s="2" t="s">
        <v>15</v>
      </c>
    </row>
    <row r="12" spans="1:7" x14ac:dyDescent="0.2">
      <c r="A12" s="1" t="s">
        <v>79</v>
      </c>
      <c r="B12" s="3">
        <v>45296</v>
      </c>
      <c r="C12" s="1">
        <v>100</v>
      </c>
      <c r="D12" s="1">
        <v>0</v>
      </c>
      <c r="E12" s="1">
        <v>0</v>
      </c>
      <c r="F12" s="1">
        <v>0</v>
      </c>
      <c r="G12" s="1">
        <f>F12+E12</f>
        <v>0</v>
      </c>
    </row>
    <row r="13" spans="1:7" x14ac:dyDescent="0.2">
      <c r="A13" s="1" t="s">
        <v>79</v>
      </c>
      <c r="B13" s="3">
        <v>45596</v>
      </c>
      <c r="C13" s="1">
        <v>100</v>
      </c>
      <c r="D13" s="4">
        <v>0.05</v>
      </c>
      <c r="E13" s="5">
        <f t="shared" ref="E13:E19" si="4">((D13*C12)/360)*DAYS360(B12,B13)</f>
        <v>4.1111111111111107</v>
      </c>
      <c r="F13" s="1">
        <v>0</v>
      </c>
      <c r="G13" s="1">
        <f t="shared" ref="G13:G19" si="5">F13+E13</f>
        <v>4.1111111111111107</v>
      </c>
    </row>
    <row r="14" spans="1:7" x14ac:dyDescent="0.2">
      <c r="A14" s="1" t="s">
        <v>79</v>
      </c>
      <c r="B14" s="3">
        <v>45777</v>
      </c>
      <c r="C14" s="1">
        <v>100</v>
      </c>
      <c r="D14" s="4">
        <v>0.05</v>
      </c>
      <c r="E14" s="5">
        <f t="shared" si="4"/>
        <v>2.5</v>
      </c>
      <c r="F14" s="1">
        <v>0</v>
      </c>
      <c r="G14" s="1">
        <f t="shared" si="5"/>
        <v>2.5</v>
      </c>
    </row>
    <row r="15" spans="1:7" x14ac:dyDescent="0.2">
      <c r="A15" s="1" t="s">
        <v>79</v>
      </c>
      <c r="B15" s="3">
        <v>45961</v>
      </c>
      <c r="C15" s="1">
        <v>100</v>
      </c>
      <c r="D15" s="4">
        <v>0.05</v>
      </c>
      <c r="E15" s="5">
        <f t="shared" si="4"/>
        <v>2.5</v>
      </c>
      <c r="F15" s="1">
        <v>0</v>
      </c>
      <c r="G15" s="1">
        <f t="shared" si="5"/>
        <v>2.5</v>
      </c>
    </row>
    <row r="16" spans="1:7" x14ac:dyDescent="0.2">
      <c r="A16" s="1" t="s">
        <v>79</v>
      </c>
      <c r="B16" s="3">
        <v>46142</v>
      </c>
      <c r="C16" s="1">
        <v>100</v>
      </c>
      <c r="D16" s="4">
        <v>0.05</v>
      </c>
      <c r="E16" s="5">
        <f t="shared" si="4"/>
        <v>2.5</v>
      </c>
      <c r="F16" s="1">
        <v>0</v>
      </c>
      <c r="G16" s="1">
        <f t="shared" si="5"/>
        <v>2.5</v>
      </c>
    </row>
    <row r="17" spans="1:7" x14ac:dyDescent="0.2">
      <c r="A17" s="1" t="s">
        <v>79</v>
      </c>
      <c r="B17" s="3">
        <v>46326</v>
      </c>
      <c r="C17" s="1">
        <v>100</v>
      </c>
      <c r="D17" s="4">
        <v>0.05</v>
      </c>
      <c r="E17" s="5">
        <f t="shared" si="4"/>
        <v>2.5</v>
      </c>
      <c r="F17" s="1">
        <v>0</v>
      </c>
      <c r="G17" s="1">
        <f t="shared" si="5"/>
        <v>2.5</v>
      </c>
    </row>
    <row r="18" spans="1:7" x14ac:dyDescent="0.2">
      <c r="A18" s="1" t="s">
        <v>79</v>
      </c>
      <c r="B18" s="3">
        <v>46507</v>
      </c>
      <c r="C18" s="1">
        <f>C17-F18</f>
        <v>50</v>
      </c>
      <c r="D18" s="4">
        <v>0.05</v>
      </c>
      <c r="E18" s="5">
        <f t="shared" si="4"/>
        <v>2.5</v>
      </c>
      <c r="F18" s="1">
        <v>50</v>
      </c>
      <c r="G18" s="1">
        <f t="shared" si="5"/>
        <v>52.5</v>
      </c>
    </row>
    <row r="19" spans="1:7" x14ac:dyDescent="0.2">
      <c r="A19" s="1" t="s">
        <v>79</v>
      </c>
      <c r="B19" s="3">
        <v>46691</v>
      </c>
      <c r="C19" s="1">
        <f>C18-F19</f>
        <v>0</v>
      </c>
      <c r="D19" s="4">
        <v>0.05</v>
      </c>
      <c r="E19" s="5">
        <f t="shared" si="4"/>
        <v>1.25</v>
      </c>
      <c r="F19" s="1">
        <v>50</v>
      </c>
      <c r="G19" s="1">
        <f t="shared" si="5"/>
        <v>51.25</v>
      </c>
    </row>
    <row r="21" spans="1:7" x14ac:dyDescent="0.2">
      <c r="A21" s="2" t="s">
        <v>0</v>
      </c>
      <c r="B21" s="2" t="s">
        <v>10</v>
      </c>
      <c r="C21" s="2" t="s">
        <v>11</v>
      </c>
      <c r="D21" s="2" t="s">
        <v>14</v>
      </c>
      <c r="E21" s="2" t="s">
        <v>12</v>
      </c>
      <c r="F21" s="2" t="s">
        <v>13</v>
      </c>
      <c r="G21" s="2" t="s">
        <v>15</v>
      </c>
    </row>
    <row r="22" spans="1:7" x14ac:dyDescent="0.2">
      <c r="A22" s="1" t="s">
        <v>80</v>
      </c>
      <c r="B22" s="3">
        <v>45832</v>
      </c>
      <c r="C22" s="1">
        <v>100</v>
      </c>
      <c r="D22" s="1">
        <v>0</v>
      </c>
      <c r="E22" s="1">
        <v>0</v>
      </c>
      <c r="F22" s="1">
        <v>0</v>
      </c>
      <c r="G22" s="1">
        <f>F22+E22</f>
        <v>0</v>
      </c>
    </row>
    <row r="23" spans="1:7" x14ac:dyDescent="0.2">
      <c r="A23" s="1" t="s">
        <v>80</v>
      </c>
      <c r="B23" s="3">
        <v>45961</v>
      </c>
      <c r="C23" s="1">
        <v>100</v>
      </c>
      <c r="D23" s="4">
        <v>0.03</v>
      </c>
      <c r="E23" s="5">
        <f t="shared" ref="E23:E29" si="6">((D23*C22)/360)*DAYS360(B22,B23)</f>
        <v>1.0583333333333333</v>
      </c>
      <c r="F23" s="1">
        <v>0</v>
      </c>
      <c r="G23" s="1">
        <f t="shared" ref="G23:G29" si="7">F23+E23</f>
        <v>1.0583333333333333</v>
      </c>
    </row>
    <row r="24" spans="1:7" x14ac:dyDescent="0.2">
      <c r="A24" s="1" t="s">
        <v>80</v>
      </c>
      <c r="B24" s="3">
        <v>46142</v>
      </c>
      <c r="C24" s="1">
        <v>100</v>
      </c>
      <c r="D24" s="4">
        <v>0.03</v>
      </c>
      <c r="E24" s="5">
        <f t="shared" si="6"/>
        <v>1.5</v>
      </c>
      <c r="F24" s="1">
        <v>0</v>
      </c>
      <c r="G24" s="1">
        <f t="shared" si="7"/>
        <v>1.5</v>
      </c>
    </row>
    <row r="25" spans="1:7" x14ac:dyDescent="0.2">
      <c r="A25" s="1" t="s">
        <v>80</v>
      </c>
      <c r="B25" s="3">
        <v>46326</v>
      </c>
      <c r="C25" s="1">
        <v>100</v>
      </c>
      <c r="D25" s="4">
        <v>0.03</v>
      </c>
      <c r="E25" s="5">
        <f t="shared" si="6"/>
        <v>1.5</v>
      </c>
      <c r="F25" s="1">
        <v>0</v>
      </c>
      <c r="G25" s="1">
        <f t="shared" si="7"/>
        <v>1.5</v>
      </c>
    </row>
    <row r="26" spans="1:7" x14ac:dyDescent="0.2">
      <c r="A26" s="1" t="s">
        <v>80</v>
      </c>
      <c r="B26" s="3">
        <v>46507</v>
      </c>
      <c r="C26" s="1">
        <f>C25-F26</f>
        <v>100</v>
      </c>
      <c r="D26" s="4">
        <v>0.03</v>
      </c>
      <c r="E26" s="5">
        <f t="shared" si="6"/>
        <v>1.5</v>
      </c>
      <c r="F26" s="1">
        <v>0</v>
      </c>
      <c r="G26" s="1">
        <f t="shared" si="7"/>
        <v>1.5</v>
      </c>
    </row>
    <row r="27" spans="1:7" x14ac:dyDescent="0.2">
      <c r="A27" s="1" t="s">
        <v>80</v>
      </c>
      <c r="B27" s="3">
        <v>46691</v>
      </c>
      <c r="C27" s="1">
        <f>C26-F27</f>
        <v>100</v>
      </c>
      <c r="D27" s="4">
        <v>0.03</v>
      </c>
      <c r="E27" s="5">
        <f t="shared" si="6"/>
        <v>1.5</v>
      </c>
      <c r="F27" s="1">
        <v>0</v>
      </c>
      <c r="G27" s="1">
        <f t="shared" si="7"/>
        <v>1.5</v>
      </c>
    </row>
    <row r="28" spans="1:7" x14ac:dyDescent="0.2">
      <c r="A28" s="1" t="s">
        <v>80</v>
      </c>
      <c r="B28" s="3">
        <v>46873</v>
      </c>
      <c r="C28" s="1">
        <f t="shared" ref="C28:C29" si="8">C27-F28</f>
        <v>100</v>
      </c>
      <c r="D28" s="4">
        <v>0.03</v>
      </c>
      <c r="E28" s="5">
        <f t="shared" si="6"/>
        <v>1.5</v>
      </c>
      <c r="F28" s="1">
        <v>0</v>
      </c>
      <c r="G28" s="1">
        <f t="shared" si="7"/>
        <v>1.5</v>
      </c>
    </row>
    <row r="29" spans="1:7" x14ac:dyDescent="0.2">
      <c r="A29" s="1" t="s">
        <v>80</v>
      </c>
      <c r="B29" s="3">
        <v>47057</v>
      </c>
      <c r="C29" s="1">
        <f t="shared" si="8"/>
        <v>0</v>
      </c>
      <c r="D29" s="4">
        <v>0.03</v>
      </c>
      <c r="E29" s="5">
        <f t="shared" si="6"/>
        <v>1.5</v>
      </c>
      <c r="F29" s="1">
        <v>100</v>
      </c>
      <c r="G29" s="1">
        <f t="shared" si="7"/>
        <v>101.5</v>
      </c>
    </row>
    <row r="30" spans="1:7" x14ac:dyDescent="0.2">
      <c r="A30" s="1"/>
      <c r="B30" s="3"/>
      <c r="C30" s="1"/>
      <c r="D30" s="4"/>
      <c r="E30" s="5"/>
      <c r="F30" s="1"/>
      <c r="G30" s="1"/>
    </row>
    <row r="31" spans="1:7" x14ac:dyDescent="0.2">
      <c r="A31" s="2" t="s">
        <v>0</v>
      </c>
      <c r="B31" s="2" t="s">
        <v>10</v>
      </c>
      <c r="C31" s="2" t="s">
        <v>11</v>
      </c>
      <c r="D31" s="2" t="s">
        <v>14</v>
      </c>
      <c r="E31" s="2" t="s">
        <v>12</v>
      </c>
      <c r="F31" s="2" t="s">
        <v>13</v>
      </c>
      <c r="G31" s="2" t="s">
        <v>15</v>
      </c>
    </row>
    <row r="32" spans="1:7" x14ac:dyDescent="0.2">
      <c r="A32" s="1" t="s">
        <v>81</v>
      </c>
      <c r="B32" s="3">
        <v>45832</v>
      </c>
      <c r="C32" s="1">
        <v>100</v>
      </c>
      <c r="D32" s="1">
        <v>0</v>
      </c>
      <c r="E32" s="1">
        <v>0</v>
      </c>
      <c r="F32" s="1">
        <v>0</v>
      </c>
      <c r="G32" s="1">
        <f>F32+E32</f>
        <v>0</v>
      </c>
    </row>
    <row r="33" spans="1:7" x14ac:dyDescent="0.2">
      <c r="A33" s="1" t="s">
        <v>81</v>
      </c>
      <c r="B33" s="3">
        <v>45961</v>
      </c>
      <c r="C33" s="1">
        <v>100</v>
      </c>
      <c r="D33" s="4">
        <v>0.03</v>
      </c>
      <c r="E33" s="5">
        <f t="shared" ref="E33:E39" si="9">((D33*C32)/360)*DAYS360(B32,B33)</f>
        <v>1.0583333333333333</v>
      </c>
      <c r="F33" s="1">
        <v>0</v>
      </c>
      <c r="G33" s="1">
        <f t="shared" ref="G33:G39" si="10">F33+E33</f>
        <v>1.0583333333333333</v>
      </c>
    </row>
    <row r="34" spans="1:7" x14ac:dyDescent="0.2">
      <c r="A34" s="1" t="s">
        <v>81</v>
      </c>
      <c r="B34" s="3">
        <v>46142</v>
      </c>
      <c r="C34" s="1">
        <v>100</v>
      </c>
      <c r="D34" s="4">
        <v>0.03</v>
      </c>
      <c r="E34" s="5">
        <f t="shared" si="9"/>
        <v>1.5</v>
      </c>
      <c r="F34" s="1">
        <v>0</v>
      </c>
      <c r="G34" s="1">
        <f t="shared" si="10"/>
        <v>1.5</v>
      </c>
    </row>
    <row r="35" spans="1:7" x14ac:dyDescent="0.2">
      <c r="A35" s="1" t="s">
        <v>81</v>
      </c>
      <c r="B35" s="3">
        <v>46326</v>
      </c>
      <c r="C35" s="1">
        <v>100</v>
      </c>
      <c r="D35" s="4">
        <v>0.03</v>
      </c>
      <c r="E35" s="5">
        <f t="shared" si="9"/>
        <v>1.5</v>
      </c>
      <c r="F35" s="1">
        <v>0</v>
      </c>
      <c r="G35" s="1">
        <f t="shared" si="10"/>
        <v>1.5</v>
      </c>
    </row>
    <row r="36" spans="1:7" x14ac:dyDescent="0.2">
      <c r="A36" s="1" t="s">
        <v>81</v>
      </c>
      <c r="B36" s="3">
        <v>46507</v>
      </c>
      <c r="C36" s="1">
        <f>C35-F36</f>
        <v>100</v>
      </c>
      <c r="D36" s="4">
        <v>0.03</v>
      </c>
      <c r="E36" s="5">
        <f t="shared" si="9"/>
        <v>1.5</v>
      </c>
      <c r="F36" s="1">
        <v>0</v>
      </c>
      <c r="G36" s="1">
        <f t="shared" si="10"/>
        <v>1.5</v>
      </c>
    </row>
    <row r="37" spans="1:7" x14ac:dyDescent="0.2">
      <c r="A37" s="1" t="s">
        <v>81</v>
      </c>
      <c r="B37" s="3">
        <v>46691</v>
      </c>
      <c r="C37" s="1">
        <f>C36-F37</f>
        <v>100</v>
      </c>
      <c r="D37" s="4">
        <v>0.03</v>
      </c>
      <c r="E37" s="5">
        <f t="shared" si="9"/>
        <v>1.5</v>
      </c>
      <c r="F37" s="1">
        <v>0</v>
      </c>
      <c r="G37" s="1">
        <f t="shared" si="10"/>
        <v>1.5</v>
      </c>
    </row>
    <row r="38" spans="1:7" x14ac:dyDescent="0.2">
      <c r="A38" s="1" t="s">
        <v>81</v>
      </c>
      <c r="B38" s="3">
        <v>46873</v>
      </c>
      <c r="C38" s="1">
        <f t="shared" ref="C38:C39" si="11">C37-F38</f>
        <v>100</v>
      </c>
      <c r="D38" s="4">
        <v>0.03</v>
      </c>
      <c r="E38" s="5">
        <f t="shared" si="9"/>
        <v>1.5</v>
      </c>
      <c r="F38" s="1">
        <v>0</v>
      </c>
      <c r="G38" s="1">
        <f t="shared" si="10"/>
        <v>1.5</v>
      </c>
    </row>
    <row r="39" spans="1:7" x14ac:dyDescent="0.2">
      <c r="A39" s="1" t="s">
        <v>81</v>
      </c>
      <c r="B39" s="3">
        <v>47057</v>
      </c>
      <c r="C39" s="1">
        <f t="shared" si="11"/>
        <v>0</v>
      </c>
      <c r="D39" s="4">
        <v>0.03</v>
      </c>
      <c r="E39" s="5">
        <f t="shared" si="9"/>
        <v>1.5</v>
      </c>
      <c r="F39" s="1">
        <v>100</v>
      </c>
      <c r="G39" s="1">
        <f t="shared" si="10"/>
        <v>101.5</v>
      </c>
    </row>
    <row r="40" spans="1:7" x14ac:dyDescent="0.2">
      <c r="A40" s="1" t="s">
        <v>105</v>
      </c>
      <c r="B40" s="3">
        <v>45296</v>
      </c>
      <c r="C40" s="1">
        <v>100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2">
      <c r="A41" s="1" t="s">
        <v>105</v>
      </c>
      <c r="B41" s="3">
        <v>45596</v>
      </c>
      <c r="C41" s="1">
        <v>100</v>
      </c>
      <c r="D41" s="4">
        <v>0.05</v>
      </c>
      <c r="E41" s="5">
        <v>4.1111111111111107</v>
      </c>
      <c r="F41" s="1">
        <v>0</v>
      </c>
      <c r="G41" s="1">
        <v>4.1111111111111107</v>
      </c>
    </row>
    <row r="42" spans="1:7" x14ac:dyDescent="0.2">
      <c r="A42" s="1" t="s">
        <v>105</v>
      </c>
      <c r="B42" s="3">
        <v>45777</v>
      </c>
      <c r="C42" s="1">
        <v>100</v>
      </c>
      <c r="D42" s="4">
        <v>0.05</v>
      </c>
      <c r="E42" s="5">
        <v>2.5</v>
      </c>
      <c r="F42" s="1">
        <v>0</v>
      </c>
      <c r="G42" s="1">
        <v>2.5</v>
      </c>
    </row>
    <row r="43" spans="1:7" x14ac:dyDescent="0.2">
      <c r="A43" s="1" t="s">
        <v>105</v>
      </c>
      <c r="B43" s="3">
        <v>45961</v>
      </c>
      <c r="C43" s="1">
        <v>100</v>
      </c>
      <c r="D43" s="4">
        <v>0.05</v>
      </c>
      <c r="E43" s="5">
        <v>2.5</v>
      </c>
      <c r="F43" s="1">
        <v>0</v>
      </c>
      <c r="G43" s="1">
        <v>2.5</v>
      </c>
    </row>
    <row r="44" spans="1:7" x14ac:dyDescent="0.2">
      <c r="A44" s="1" t="s">
        <v>105</v>
      </c>
      <c r="B44" s="3">
        <v>46142</v>
      </c>
      <c r="C44" s="1">
        <v>100</v>
      </c>
      <c r="D44" s="4">
        <v>0.05</v>
      </c>
      <c r="E44" s="5">
        <v>2.5</v>
      </c>
      <c r="F44" s="1">
        <v>0</v>
      </c>
      <c r="G44" s="1">
        <v>2.5</v>
      </c>
    </row>
    <row r="45" spans="1:7" x14ac:dyDescent="0.2">
      <c r="A45" s="1" t="s">
        <v>105</v>
      </c>
      <c r="B45" s="3">
        <v>46326</v>
      </c>
      <c r="C45" s="1">
        <v>100</v>
      </c>
      <c r="D45" s="4">
        <v>0.05</v>
      </c>
      <c r="E45" s="5">
        <v>2.5</v>
      </c>
      <c r="F45" s="1">
        <v>0</v>
      </c>
      <c r="G45" s="1">
        <v>2.5</v>
      </c>
    </row>
    <row r="46" spans="1:7" x14ac:dyDescent="0.2">
      <c r="A46" s="1" t="s">
        <v>105</v>
      </c>
      <c r="B46" s="3">
        <v>46507</v>
      </c>
      <c r="C46" s="1">
        <v>50</v>
      </c>
      <c r="D46" s="4">
        <v>0.05</v>
      </c>
      <c r="E46" s="5">
        <v>2.5</v>
      </c>
      <c r="F46" s="1">
        <v>50</v>
      </c>
      <c r="G46" s="1">
        <v>52.5</v>
      </c>
    </row>
    <row r="47" spans="1:7" x14ac:dyDescent="0.2">
      <c r="A47" s="1" t="s">
        <v>105</v>
      </c>
      <c r="B47" s="3">
        <v>46691</v>
      </c>
      <c r="C47" s="1">
        <v>0</v>
      </c>
      <c r="D47" s="4">
        <v>0.05</v>
      </c>
      <c r="E47" s="5">
        <v>1.25</v>
      </c>
      <c r="F47" s="1">
        <v>50</v>
      </c>
      <c r="G47" s="1">
        <v>51.25</v>
      </c>
    </row>
    <row r="48" spans="1:7" x14ac:dyDescent="0.2">
      <c r="A48" s="1" t="s">
        <v>106</v>
      </c>
      <c r="B48" s="3">
        <v>45296</v>
      </c>
      <c r="C48" s="1">
        <v>100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2">
      <c r="A49" s="1" t="s">
        <v>106</v>
      </c>
      <c r="B49" s="3">
        <v>45596</v>
      </c>
      <c r="C49" s="1">
        <v>100</v>
      </c>
      <c r="D49" s="4">
        <v>0.05</v>
      </c>
      <c r="E49" s="5">
        <v>4.1111111111111107</v>
      </c>
      <c r="F49" s="1">
        <v>0</v>
      </c>
      <c r="G49" s="1">
        <v>4.1111111111111107</v>
      </c>
    </row>
    <row r="50" spans="1:7" x14ac:dyDescent="0.2">
      <c r="A50" s="1" t="s">
        <v>106</v>
      </c>
      <c r="B50" s="3">
        <v>45777</v>
      </c>
      <c r="C50" s="1">
        <v>100</v>
      </c>
      <c r="D50" s="4">
        <v>0.05</v>
      </c>
      <c r="E50" s="5">
        <v>2.5</v>
      </c>
      <c r="F50" s="1">
        <v>0</v>
      </c>
      <c r="G50" s="1">
        <v>2.5</v>
      </c>
    </row>
    <row r="51" spans="1:7" x14ac:dyDescent="0.2">
      <c r="A51" s="1" t="s">
        <v>106</v>
      </c>
      <c r="B51" s="3">
        <v>45961</v>
      </c>
      <c r="C51" s="1">
        <v>100</v>
      </c>
      <c r="D51" s="4">
        <v>0.05</v>
      </c>
      <c r="E51" s="5">
        <v>2.5</v>
      </c>
      <c r="F51" s="1">
        <v>0</v>
      </c>
      <c r="G51" s="1">
        <v>2.5</v>
      </c>
    </row>
    <row r="52" spans="1:7" x14ac:dyDescent="0.2">
      <c r="A52" s="1" t="s">
        <v>106</v>
      </c>
      <c r="B52" s="3">
        <v>46142</v>
      </c>
      <c r="C52" s="1">
        <v>100</v>
      </c>
      <c r="D52" s="4">
        <v>0.05</v>
      </c>
      <c r="E52" s="5">
        <v>2.5</v>
      </c>
      <c r="F52" s="1">
        <v>0</v>
      </c>
      <c r="G52" s="1">
        <v>2.5</v>
      </c>
    </row>
    <row r="53" spans="1:7" x14ac:dyDescent="0.2">
      <c r="A53" s="1" t="s">
        <v>106</v>
      </c>
      <c r="B53" s="3">
        <v>46326</v>
      </c>
      <c r="C53" s="1">
        <v>100</v>
      </c>
      <c r="D53" s="4">
        <v>0.05</v>
      </c>
      <c r="E53" s="5">
        <v>2.5</v>
      </c>
      <c r="F53" s="1">
        <v>0</v>
      </c>
      <c r="G53" s="1">
        <v>2.5</v>
      </c>
    </row>
    <row r="54" spans="1:7" x14ac:dyDescent="0.2">
      <c r="A54" s="1" t="s">
        <v>106</v>
      </c>
      <c r="B54" s="3">
        <v>46507</v>
      </c>
      <c r="C54" s="1">
        <v>50</v>
      </c>
      <c r="D54" s="4">
        <v>0.05</v>
      </c>
      <c r="E54" s="5">
        <v>2.5</v>
      </c>
      <c r="F54" s="1">
        <v>50</v>
      </c>
      <c r="G54" s="1">
        <v>52.5</v>
      </c>
    </row>
    <row r="55" spans="1:7" x14ac:dyDescent="0.2">
      <c r="A55" s="1" t="s">
        <v>106</v>
      </c>
      <c r="B55" s="3">
        <v>46691</v>
      </c>
      <c r="C55" s="1">
        <v>0</v>
      </c>
      <c r="D55" s="4">
        <v>0.05</v>
      </c>
      <c r="E55" s="5">
        <v>1.25</v>
      </c>
      <c r="F55" s="1">
        <v>50</v>
      </c>
      <c r="G55" s="1">
        <v>51.25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529B-9FFE-49C8-A90D-80E2711BFB43}">
  <dimension ref="A1:G42"/>
  <sheetViews>
    <sheetView workbookViewId="0">
      <selection activeCell="F22" sqref="F22"/>
    </sheetView>
  </sheetViews>
  <sheetFormatPr baseColWidth="10" defaultRowHeight="15" x14ac:dyDescent="0.2"/>
  <cols>
    <col min="1" max="6" width="16.83203125" customWidth="1"/>
  </cols>
  <sheetData>
    <row r="1" spans="1:7" x14ac:dyDescent="0.2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7" x14ac:dyDescent="0.2">
      <c r="A2" s="1" t="s">
        <v>75</v>
      </c>
      <c r="B2" s="1" t="s">
        <v>24</v>
      </c>
      <c r="C2" s="3">
        <v>46157</v>
      </c>
      <c r="D2" s="3">
        <v>46934</v>
      </c>
      <c r="E2" s="1">
        <v>10</v>
      </c>
      <c r="F2" s="1">
        <v>0</v>
      </c>
    </row>
    <row r="3" spans="1:7" x14ac:dyDescent="0.2">
      <c r="A3" s="2" t="s">
        <v>0</v>
      </c>
      <c r="B3" s="2" t="s">
        <v>1</v>
      </c>
      <c r="C3" s="2" t="s">
        <v>18</v>
      </c>
      <c r="D3" s="2" t="s">
        <v>19</v>
      </c>
      <c r="E3" s="2" t="s">
        <v>28</v>
      </c>
      <c r="F3" s="2" t="s">
        <v>21</v>
      </c>
    </row>
    <row r="4" spans="1:7" x14ac:dyDescent="0.2">
      <c r="A4" s="1" t="s">
        <v>75</v>
      </c>
      <c r="B4" s="1" t="s">
        <v>27</v>
      </c>
      <c r="C4" s="3">
        <v>46157</v>
      </c>
      <c r="D4" s="3">
        <v>46934</v>
      </c>
      <c r="E4" s="1">
        <v>10</v>
      </c>
      <c r="F4" s="4">
        <v>0.03</v>
      </c>
    </row>
    <row r="6" spans="1:7" x14ac:dyDescent="0.2">
      <c r="A6" s="2" t="s">
        <v>0</v>
      </c>
      <c r="B6" s="2" t="s">
        <v>1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7" x14ac:dyDescent="0.2">
      <c r="A7" s="1" t="s">
        <v>74</v>
      </c>
      <c r="B7" s="1" t="s">
        <v>24</v>
      </c>
      <c r="C7" s="3">
        <v>46142</v>
      </c>
      <c r="D7" s="3">
        <v>47298</v>
      </c>
      <c r="E7" s="1">
        <v>10</v>
      </c>
      <c r="F7" s="1">
        <v>0</v>
      </c>
    </row>
    <row r="8" spans="1:7" x14ac:dyDescent="0.2">
      <c r="A8" s="2" t="s">
        <v>0</v>
      </c>
      <c r="B8" s="2" t="s">
        <v>1</v>
      </c>
      <c r="C8" s="2" t="s">
        <v>18</v>
      </c>
      <c r="D8" s="2" t="s">
        <v>19</v>
      </c>
      <c r="E8" s="2" t="s">
        <v>28</v>
      </c>
      <c r="F8" s="2" t="s">
        <v>21</v>
      </c>
    </row>
    <row r="9" spans="1:7" x14ac:dyDescent="0.2">
      <c r="A9" s="1" t="s">
        <v>74</v>
      </c>
      <c r="B9" s="1" t="s">
        <v>27</v>
      </c>
      <c r="C9" s="3">
        <v>46142</v>
      </c>
      <c r="D9" s="3">
        <v>47298</v>
      </c>
      <c r="E9" s="1">
        <v>10</v>
      </c>
      <c r="F9" s="4">
        <v>0.03</v>
      </c>
    </row>
    <row r="16" spans="1:7" x14ac:dyDescent="0.2">
      <c r="A16" s="2" t="s">
        <v>0</v>
      </c>
      <c r="B16" s="2" t="s">
        <v>1</v>
      </c>
      <c r="C16" s="2" t="s">
        <v>18</v>
      </c>
      <c r="D16" s="2" t="s">
        <v>19</v>
      </c>
      <c r="E16" s="2" t="s">
        <v>28</v>
      </c>
      <c r="F16" s="2" t="s">
        <v>21</v>
      </c>
    </row>
    <row r="17" spans="1:7" x14ac:dyDescent="0.2">
      <c r="A17" s="1" t="s">
        <v>77</v>
      </c>
      <c r="B17" s="1" t="s">
        <v>27</v>
      </c>
      <c r="C17" s="3">
        <v>45686</v>
      </c>
      <c r="D17" s="3">
        <v>46280</v>
      </c>
      <c r="E17" s="1">
        <v>10</v>
      </c>
      <c r="F17" s="4">
        <v>0</v>
      </c>
    </row>
    <row r="18" spans="1:7" x14ac:dyDescent="0.2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7" x14ac:dyDescent="0.2">
      <c r="A19" s="1" t="s">
        <v>77</v>
      </c>
      <c r="B19" s="1" t="s">
        <v>8</v>
      </c>
      <c r="C19" s="3">
        <v>45686</v>
      </c>
      <c r="D19" s="3">
        <v>46280</v>
      </c>
      <c r="E19" s="1">
        <v>2.17</v>
      </c>
      <c r="F19" s="1">
        <f t="shared" ref="F19" si="2">((YEAR(D19)-YEAR(C19))*360+(MONTH(D19)-MONTH(C19))*30+(DAY(D19)-DAY(C19)))/30</f>
        <v>19.533333333333335</v>
      </c>
      <c r="G19" s="1">
        <f t="shared" ref="G19" si="3">100*(1+E19/100)^F19</f>
        <v>152.09570515319578</v>
      </c>
    </row>
    <row r="21" spans="1:7" x14ac:dyDescent="0.2">
      <c r="A21" s="2" t="s">
        <v>0</v>
      </c>
      <c r="B21" s="2" t="s">
        <v>1</v>
      </c>
      <c r="C21" s="2" t="s">
        <v>18</v>
      </c>
      <c r="D21" s="2" t="s">
        <v>19</v>
      </c>
      <c r="E21" s="2" t="s">
        <v>20</v>
      </c>
      <c r="F21" s="2" t="s">
        <v>21</v>
      </c>
    </row>
    <row r="22" spans="1:7" x14ac:dyDescent="0.2">
      <c r="A22" s="1" t="s">
        <v>92</v>
      </c>
      <c r="B22" s="1" t="s">
        <v>24</v>
      </c>
      <c r="C22" s="3">
        <v>46185</v>
      </c>
      <c r="D22" s="3">
        <v>47102</v>
      </c>
      <c r="E22" s="1">
        <v>10</v>
      </c>
      <c r="F22" s="1">
        <v>0</v>
      </c>
    </row>
    <row r="23" spans="1:7" x14ac:dyDescent="0.2">
      <c r="A23" s="2" t="s">
        <v>0</v>
      </c>
      <c r="B23" s="2" t="s">
        <v>1</v>
      </c>
      <c r="C23" s="2" t="s">
        <v>18</v>
      </c>
      <c r="D23" s="2" t="s">
        <v>19</v>
      </c>
      <c r="E23" s="2" t="s">
        <v>28</v>
      </c>
      <c r="F23" s="2" t="s">
        <v>21</v>
      </c>
    </row>
    <row r="24" spans="1:7" x14ac:dyDescent="0.2">
      <c r="A24" s="1" t="s">
        <v>92</v>
      </c>
      <c r="B24" s="1" t="s">
        <v>27</v>
      </c>
      <c r="C24" s="3">
        <v>46185</v>
      </c>
      <c r="D24" s="3">
        <v>47102</v>
      </c>
      <c r="E24" s="1">
        <v>10</v>
      </c>
      <c r="F24" s="4">
        <v>0.03</v>
      </c>
    </row>
    <row r="26" spans="1:7" x14ac:dyDescent="0.2">
      <c r="A26" s="2" t="s">
        <v>0</v>
      </c>
      <c r="B26" s="2" t="s">
        <v>1</v>
      </c>
      <c r="C26" s="2" t="s">
        <v>18</v>
      </c>
      <c r="D26" s="2" t="s">
        <v>19</v>
      </c>
      <c r="E26" s="2" t="s">
        <v>20</v>
      </c>
      <c r="F26" s="2" t="s">
        <v>21</v>
      </c>
    </row>
    <row r="27" spans="1:7" x14ac:dyDescent="0.2">
      <c r="A27" s="1" t="s">
        <v>93</v>
      </c>
      <c r="B27" s="1" t="s">
        <v>24</v>
      </c>
      <c r="C27" s="3">
        <v>46185</v>
      </c>
      <c r="D27" s="3">
        <v>47466</v>
      </c>
      <c r="E27" s="1">
        <v>10</v>
      </c>
      <c r="F27" s="1">
        <v>0</v>
      </c>
    </row>
    <row r="28" spans="1:7" x14ac:dyDescent="0.2">
      <c r="A28" s="2" t="s">
        <v>0</v>
      </c>
      <c r="B28" s="2" t="s">
        <v>1</v>
      </c>
      <c r="C28" s="2" t="s">
        <v>18</v>
      </c>
      <c r="D28" s="2" t="s">
        <v>19</v>
      </c>
      <c r="E28" s="2" t="s">
        <v>28</v>
      </c>
      <c r="F28" s="2" t="s">
        <v>21</v>
      </c>
    </row>
    <row r="29" spans="1:7" x14ac:dyDescent="0.2">
      <c r="A29" s="1" t="s">
        <v>93</v>
      </c>
      <c r="B29" s="1" t="s">
        <v>27</v>
      </c>
      <c r="C29" s="3">
        <v>46185</v>
      </c>
      <c r="D29" s="3">
        <v>47466</v>
      </c>
      <c r="E29" s="1">
        <v>10</v>
      </c>
      <c r="F29" s="4">
        <v>0.03</v>
      </c>
    </row>
    <row r="31" spans="1:7" x14ac:dyDescent="0.2">
      <c r="A31" s="2" t="s">
        <v>0</v>
      </c>
      <c r="B31" s="2" t="s">
        <v>1</v>
      </c>
      <c r="C31" s="2" t="s">
        <v>18</v>
      </c>
      <c r="D31" s="2" t="s">
        <v>19</v>
      </c>
      <c r="E31" s="2" t="s">
        <v>20</v>
      </c>
      <c r="F31" s="2" t="s">
        <v>21</v>
      </c>
    </row>
    <row r="32" spans="1:7" x14ac:dyDescent="0.2">
      <c r="A32" s="1" t="s">
        <v>94</v>
      </c>
      <c r="B32" s="1" t="s">
        <v>24</v>
      </c>
      <c r="C32" s="3">
        <v>46185</v>
      </c>
      <c r="D32" s="3">
        <v>47662</v>
      </c>
      <c r="E32" s="1">
        <v>10</v>
      </c>
      <c r="F32" s="1">
        <v>0</v>
      </c>
    </row>
    <row r="33" spans="1:6" x14ac:dyDescent="0.2">
      <c r="A33" s="2" t="s">
        <v>0</v>
      </c>
      <c r="B33" s="2" t="s">
        <v>1</v>
      </c>
      <c r="C33" s="2" t="s">
        <v>18</v>
      </c>
      <c r="D33" s="2" t="s">
        <v>19</v>
      </c>
      <c r="E33" s="2" t="s">
        <v>28</v>
      </c>
      <c r="F33" s="2" t="s">
        <v>21</v>
      </c>
    </row>
    <row r="34" spans="1:6" x14ac:dyDescent="0.2">
      <c r="A34" s="1" t="s">
        <v>94</v>
      </c>
      <c r="B34" s="1" t="s">
        <v>27</v>
      </c>
      <c r="C34" s="3">
        <v>46185</v>
      </c>
      <c r="D34" s="3">
        <v>47662</v>
      </c>
      <c r="E34" s="1">
        <v>10</v>
      </c>
      <c r="F34" s="4">
        <v>0.03</v>
      </c>
    </row>
    <row r="35" spans="1:6" x14ac:dyDescent="0.2">
      <c r="A35" s="2" t="inlineStr">
        <is>
          <t>Ticker</t>
        </is>
      </c>
      <c r="B35" s="2" t="inlineStr">
        <is>
          <t>Tipo</t>
        </is>
      </c>
      <c r="C35" s="2" t="inlineStr">
        <is>
          <t>Fecha Emisión</t>
        </is>
      </c>
      <c r="D35" s="2" t="inlineStr">
        <is>
          <t>Fecha Vencimineto</t>
        </is>
      </c>
      <c r="E35" s="2" t="inlineStr">
        <is>
          <t>TAMAR aplicable</t>
        </is>
      </c>
      <c r="F35" s="2" t="inlineStr">
        <is>
          <t>Margen</t>
        </is>
      </c>
    </row>
    <row r="36" spans="1:6" x14ac:dyDescent="0.2">
      <c r="A36" s="1" t="inlineStr">
        <is>
          <t>TMVE8</t>
        </is>
      </c>
      <c r="B36" s="1" t="inlineStr">
        <is>
          <t>TAMAR</t>
        </is>
      </c>
      <c r="C36" s="3">
        <v>46234</v>
      </c>
      <c r="D36" s="3">
        <v>46783</v>
      </c>
      <c r="E36" s="1">
        <v>10</v>
      </c>
      <c r="F36" s="4">
        <v>0</v>
      </c>
    </row>
    <row r="37" spans="1:6" x14ac:dyDescent="0.2">
      <c r="A37" s="2" t="inlineStr">
        <is>
          <t>Ticker</t>
        </is>
      </c>
      <c r="B37" s="2" t="inlineStr">
        <is>
          <t>Tipo</t>
        </is>
      </c>
      <c r="C37" s="2" t="inlineStr">
        <is>
          <t>Fecha Emisión</t>
        </is>
      </c>
      <c r="D37" s="2" t="inlineStr">
        <is>
          <t>Fecha Vencimineto</t>
        </is>
      </c>
      <c r="E37" s="2" t="inlineStr">
        <is>
          <t>USD aplicable</t>
        </is>
      </c>
      <c r="F37" s="2" t="inlineStr">
        <is>
          <t>Margen</t>
        </is>
      </c>
    </row>
    <row r="38" spans="1:6" x14ac:dyDescent="0.2">
      <c r="A38" s="1" t="inlineStr">
        <is>
          <t>TMVE8</t>
        </is>
      </c>
      <c r="B38" s="1" t="inlineStr">
        <is>
          <t>Linked</t>
        </is>
      </c>
      <c r="C38" s="3">
        <v>46234</v>
      </c>
      <c r="D38" s="3">
        <v>46783</v>
      </c>
      <c r="E38" s="1">
        <v>1499.84</v>
      </c>
      <c r="F38" s="4">
        <v>0</v>
      </c>
    </row>
    <row r="39" spans="1:7" x14ac:dyDescent="0.2">
      <c r="A39" s="2" t="s">
        <v>0</v>
      </c>
      <c r="B39" s="2" t="s">
        <v>1</v>
      </c>
      <c r="C39" s="2" t="s">
        <v>18</v>
      </c>
      <c r="D39" s="2" t="s">
        <v>19</v>
      </c>
      <c r="E39" s="2" t="s">
        <v>28</v>
      </c>
      <c r="F39" s="2" t="s">
        <v>21</v>
      </c>
    </row>
    <row r="40" spans="1:7" x14ac:dyDescent="0.2">
      <c r="A40" s="1" t="inlineStr">
        <is>
          <t>TTD26</t>
        </is>
      </c>
      <c r="B40" s="1" t="inlineStr">
        <is>
          <t>TAMAR</t>
        </is>
      </c>
      <c r="C40" s="3">
        <v>45686</v>
      </c>
      <c r="D40" s="3">
        <v>46371</v>
      </c>
      <c r="E40" s="1">
        <v>10</v>
      </c>
      <c r="F40" s="4">
        <v>0</v>
      </c>
    </row>
    <row r="41" spans="1:7" x14ac:dyDescent="0.2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</row>
    <row r="42" spans="1:7" x14ac:dyDescent="0.2">
      <c r="A42" s="1" t="inlineStr">
        <is>
          <t>TTD26</t>
        </is>
      </c>
      <c r="B42" s="1" t="inlineStr">
        <is>
          <t>LECAP</t>
        </is>
      </c>
      <c r="C42" s="3">
        <v>45686</v>
      </c>
      <c r="D42" s="3">
        <v>46371</v>
      </c>
      <c r="E42" s="1">
        <v>2.14</v>
      </c>
      <c r="F42" s="1">
        <v>22.533333333333335</v>
      </c>
      <c r="G42" s="1">
        <v>161.14366342849306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12C5-5827-C647-B9D8-078729724407}">
  <dimension ref="A1:G72"/>
  <sheetViews>
    <sheetView workbookViewId="0">
      <selection activeCell="J42" sqref="J42"/>
    </sheetView>
  </sheetViews>
  <sheetFormatPr baseColWidth="10" defaultRowHeight="15" x14ac:dyDescent="0.2"/>
  <sheetData>
    <row r="1" spans="1:7" x14ac:dyDescent="0.2">
      <c r="A1" s="2" t="s">
        <v>0</v>
      </c>
      <c r="B1" s="2" t="s">
        <v>10</v>
      </c>
      <c r="C1" s="2" t="s">
        <v>11</v>
      </c>
      <c r="D1" s="2" t="s">
        <v>14</v>
      </c>
      <c r="E1" s="2" t="s">
        <v>12</v>
      </c>
      <c r="F1" s="2" t="s">
        <v>13</v>
      </c>
      <c r="G1" s="2" t="s">
        <v>15</v>
      </c>
    </row>
    <row r="9" spans="1:7" x14ac:dyDescent="0.2">
      <c r="A9" s="1"/>
      <c r="B9" s="3"/>
      <c r="C9" s="1"/>
      <c r="D9" s="4"/>
      <c r="E9" s="5"/>
      <c r="F9" s="1"/>
      <c r="G9" s="1"/>
    </row>
    <row r="10" spans="1:7" x14ac:dyDescent="0.2">
      <c r="A10" s="2" t="s">
        <v>0</v>
      </c>
      <c r="B10" s="2" t="s">
        <v>10</v>
      </c>
      <c r="C10" s="2" t="s">
        <v>11</v>
      </c>
      <c r="D10" s="2" t="s">
        <v>14</v>
      </c>
      <c r="E10" s="2" t="s">
        <v>12</v>
      </c>
      <c r="F10" s="2" t="s">
        <v>13</v>
      </c>
      <c r="G10" s="2" t="s">
        <v>15</v>
      </c>
    </row>
    <row r="11" spans="1:7" x14ac:dyDescent="0.2">
      <c r="A11" s="1" t="s">
        <v>86</v>
      </c>
      <c r="B11" s="3">
        <v>46062</v>
      </c>
      <c r="C11" s="1">
        <v>100</v>
      </c>
      <c r="D11" s="1">
        <v>0</v>
      </c>
      <c r="E11" s="1">
        <v>0</v>
      </c>
      <c r="F11" s="1">
        <v>0</v>
      </c>
      <c r="G11" s="1">
        <f>F11+E11</f>
        <v>0</v>
      </c>
    </row>
    <row r="12" spans="1:7" x14ac:dyDescent="0.2">
      <c r="A12" s="1" t="s">
        <v>86</v>
      </c>
      <c r="B12" s="3">
        <v>46142</v>
      </c>
      <c r="C12" s="1">
        <f t="shared" ref="C12:C17" si="3">C11-F12</f>
        <v>100</v>
      </c>
      <c r="D12" s="4">
        <v>7.4999999999999997E-2</v>
      </c>
      <c r="E12" s="5">
        <f>((D12*C11)/365)*_xlfn.DAYS(B12,B11)</f>
        <v>1.6438356164383561</v>
      </c>
      <c r="F12" s="1">
        <v>0</v>
      </c>
      <c r="G12" s="1">
        <f t="shared" ref="G12:G17" si="4">F12+E12</f>
        <v>1.6438356164383561</v>
      </c>
    </row>
    <row r="13" spans="1:7" x14ac:dyDescent="0.2">
      <c r="A13" s="1" t="s">
        <v>86</v>
      </c>
      <c r="B13" s="3">
        <v>46233</v>
      </c>
      <c r="C13" s="1">
        <f t="shared" si="3"/>
        <v>100</v>
      </c>
      <c r="D13" s="4">
        <v>7.4999999999999997E-2</v>
      </c>
      <c r="E13" s="5">
        <f t="shared" ref="E13:E17" si="5">((D13*C12)/365)*_xlfn.DAYS(B13,B12)</f>
        <v>1.8698630136986301</v>
      </c>
      <c r="F13" s="1">
        <v>0</v>
      </c>
      <c r="G13" s="1">
        <f t="shared" si="4"/>
        <v>1.8698630136986301</v>
      </c>
    </row>
    <row r="14" spans="1:7" x14ac:dyDescent="0.2">
      <c r="A14" s="1" t="s">
        <v>86</v>
      </c>
      <c r="B14" s="3">
        <v>46325</v>
      </c>
      <c r="C14" s="1">
        <f t="shared" si="3"/>
        <v>100</v>
      </c>
      <c r="D14" s="4">
        <v>7.4999999999999997E-2</v>
      </c>
      <c r="E14" s="5">
        <f t="shared" si="5"/>
        <v>1.8904109589041096</v>
      </c>
      <c r="F14" s="1">
        <v>0</v>
      </c>
      <c r="G14" s="1">
        <f t="shared" si="4"/>
        <v>1.8904109589041096</v>
      </c>
    </row>
    <row r="15" spans="1:7" x14ac:dyDescent="0.2">
      <c r="A15" s="1" t="s">
        <v>86</v>
      </c>
      <c r="B15" s="3">
        <v>46417</v>
      </c>
      <c r="C15" s="1">
        <f t="shared" si="3"/>
        <v>100</v>
      </c>
      <c r="D15" s="4">
        <v>7.4999999999999997E-2</v>
      </c>
      <c r="E15" s="5">
        <f t="shared" si="5"/>
        <v>1.8904109589041096</v>
      </c>
      <c r="F15" s="1">
        <v>0</v>
      </c>
      <c r="G15" s="1">
        <f t="shared" si="4"/>
        <v>1.8904109589041096</v>
      </c>
    </row>
    <row r="16" spans="1:7" x14ac:dyDescent="0.2">
      <c r="A16" s="1" t="s">
        <v>86</v>
      </c>
      <c r="B16" s="3">
        <v>46507</v>
      </c>
      <c r="C16" s="1">
        <f t="shared" si="3"/>
        <v>100</v>
      </c>
      <c r="D16" s="4">
        <v>7.4999999999999997E-2</v>
      </c>
      <c r="E16" s="5">
        <f t="shared" si="5"/>
        <v>1.8493150684931505</v>
      </c>
      <c r="F16" s="1">
        <v>0</v>
      </c>
      <c r="G16" s="1">
        <f t="shared" si="4"/>
        <v>1.8493150684931505</v>
      </c>
    </row>
    <row r="17" spans="1:7" x14ac:dyDescent="0.2">
      <c r="A17" s="1" t="s">
        <v>86</v>
      </c>
      <c r="B17" s="3">
        <v>46598</v>
      </c>
      <c r="C17" s="1">
        <f t="shared" si="3"/>
        <v>50</v>
      </c>
      <c r="D17" s="4">
        <v>7.4999999999999997E-2</v>
      </c>
      <c r="E17" s="5">
        <f t="shared" si="5"/>
        <v>1.8698630136986301</v>
      </c>
      <c r="F17" s="1">
        <v>50</v>
      </c>
      <c r="G17" s="1">
        <f t="shared" si="4"/>
        <v>51.869863013698627</v>
      </c>
    </row>
    <row r="18" spans="1:7" x14ac:dyDescent="0.2">
      <c r="A18" s="1" t="s">
        <v>86</v>
      </c>
      <c r="B18" s="3">
        <v>46690</v>
      </c>
      <c r="C18" s="1">
        <f t="shared" ref="C18" si="6">C17-F18</f>
        <v>0</v>
      </c>
      <c r="D18" s="4">
        <v>7.4999999999999997E-2</v>
      </c>
      <c r="E18" s="5">
        <f t="shared" ref="E18" si="7">((D18*C17)/365)*_xlfn.DAYS(B18,B17)</f>
        <v>0.9452054794520548</v>
      </c>
      <c r="F18" s="1">
        <v>50</v>
      </c>
      <c r="G18" s="1">
        <f t="shared" ref="G18" si="8">F18+E18</f>
        <v>50.945205479452056</v>
      </c>
    </row>
    <row r="19" spans="1:7" x14ac:dyDescent="0.2">
      <c r="A19" s="1"/>
      <c r="B19" s="3"/>
      <c r="C19" s="1"/>
      <c r="D19" s="4"/>
      <c r="E19" s="5"/>
      <c r="F19" s="1"/>
      <c r="G19" s="1"/>
    </row>
    <row r="20" spans="1:7" x14ac:dyDescent="0.2">
      <c r="A20" s="2" t="s">
        <v>0</v>
      </c>
      <c r="B20" s="2" t="s">
        <v>10</v>
      </c>
      <c r="C20" s="2" t="s">
        <v>11</v>
      </c>
      <c r="D20" s="2" t="s">
        <v>14</v>
      </c>
      <c r="E20" s="2" t="s">
        <v>12</v>
      </c>
      <c r="F20" s="2" t="s">
        <v>13</v>
      </c>
      <c r="G20" s="2" t="s">
        <v>15</v>
      </c>
    </row>
    <row r="21" spans="1:7" x14ac:dyDescent="0.2">
      <c r="A21" s="1" t="s">
        <v>87</v>
      </c>
      <c r="B21" s="3">
        <v>45705</v>
      </c>
      <c r="C21" s="1">
        <v>100</v>
      </c>
      <c r="D21" s="1">
        <v>0</v>
      </c>
      <c r="E21" s="1">
        <v>0</v>
      </c>
      <c r="F21" s="1">
        <v>0</v>
      </c>
      <c r="G21" s="1">
        <f>F21+E21</f>
        <v>0</v>
      </c>
    </row>
    <row r="22" spans="1:7" x14ac:dyDescent="0.2">
      <c r="A22" s="1" t="s">
        <v>87</v>
      </c>
      <c r="B22" s="3">
        <v>45886</v>
      </c>
      <c r="C22" s="1">
        <f t="shared" ref="C22:C33" si="9">C21-F22</f>
        <v>100</v>
      </c>
      <c r="D22" s="4">
        <v>0.08</v>
      </c>
      <c r="E22" s="5">
        <f>((D22*C21)/365)*_xlfn.DAYS(B22,B21)</f>
        <v>3.967123287671233</v>
      </c>
      <c r="F22" s="1">
        <v>0</v>
      </c>
      <c r="G22" s="1">
        <f t="shared" ref="G22:G24" si="10">F22+E22</f>
        <v>3.967123287671233</v>
      </c>
    </row>
    <row r="23" spans="1:7" x14ac:dyDescent="0.2">
      <c r="A23" s="1" t="s">
        <v>87</v>
      </c>
      <c r="B23" s="3">
        <v>46070</v>
      </c>
      <c r="C23" s="1">
        <f t="shared" si="9"/>
        <v>100</v>
      </c>
      <c r="D23" s="4">
        <v>0.08</v>
      </c>
      <c r="E23" s="5">
        <f t="shared" ref="E23:E24" si="11">((D23*C22)/365)*_xlfn.DAYS(B23,B22)</f>
        <v>4.0328767123287674</v>
      </c>
      <c r="F23" s="1">
        <v>0</v>
      </c>
      <c r="G23" s="1">
        <f t="shared" si="10"/>
        <v>4.0328767123287674</v>
      </c>
    </row>
    <row r="24" spans="1:7" x14ac:dyDescent="0.2">
      <c r="A24" s="1" t="s">
        <v>87</v>
      </c>
      <c r="B24" s="3">
        <v>46251</v>
      </c>
      <c r="C24" s="1">
        <f t="shared" si="9"/>
        <v>100</v>
      </c>
      <c r="D24" s="4">
        <v>0.08</v>
      </c>
      <c r="E24" s="5">
        <f t="shared" si="11"/>
        <v>3.967123287671233</v>
      </c>
      <c r="F24" s="1">
        <v>0</v>
      </c>
      <c r="G24" s="1">
        <f t="shared" si="10"/>
        <v>3.967123287671233</v>
      </c>
    </row>
    <row r="25" spans="1:7" x14ac:dyDescent="0.2">
      <c r="A25" s="1" t="s">
        <v>87</v>
      </c>
      <c r="B25" s="3">
        <v>46435</v>
      </c>
      <c r="C25" s="1">
        <f t="shared" si="9"/>
        <v>100</v>
      </c>
      <c r="D25" s="4">
        <v>0.08</v>
      </c>
      <c r="E25" s="5">
        <f t="shared" ref="E25:E33" si="12">((D25*C24)/365)*_xlfn.DAYS(B25,B24)</f>
        <v>4.0328767123287674</v>
      </c>
      <c r="F25" s="1">
        <v>0</v>
      </c>
      <c r="G25" s="1">
        <f t="shared" ref="G25:G33" si="13">F25+E25</f>
        <v>4.0328767123287674</v>
      </c>
    </row>
    <row r="26" spans="1:7" x14ac:dyDescent="0.2">
      <c r="A26" s="1" t="s">
        <v>87</v>
      </c>
      <c r="B26" s="3">
        <v>46616</v>
      </c>
      <c r="C26" s="1">
        <f t="shared" si="9"/>
        <v>100</v>
      </c>
      <c r="D26" s="4">
        <v>0.08</v>
      </c>
      <c r="E26" s="5">
        <f t="shared" si="12"/>
        <v>3.967123287671233</v>
      </c>
      <c r="F26" s="1">
        <v>0</v>
      </c>
      <c r="G26" s="1">
        <f t="shared" si="13"/>
        <v>3.967123287671233</v>
      </c>
    </row>
    <row r="27" spans="1:7" x14ac:dyDescent="0.2">
      <c r="A27" s="1" t="s">
        <v>87</v>
      </c>
      <c r="B27" s="3">
        <v>46800</v>
      </c>
      <c r="C27" s="1">
        <f t="shared" si="9"/>
        <v>100</v>
      </c>
      <c r="D27" s="4">
        <v>0.08</v>
      </c>
      <c r="E27" s="5">
        <f t="shared" si="12"/>
        <v>4.0328767123287674</v>
      </c>
      <c r="F27" s="1">
        <v>0</v>
      </c>
      <c r="G27" s="1">
        <f t="shared" si="13"/>
        <v>4.0328767123287674</v>
      </c>
    </row>
    <row r="28" spans="1:7" x14ac:dyDescent="0.2">
      <c r="A28" s="1" t="s">
        <v>87</v>
      </c>
      <c r="B28" s="3">
        <v>46982</v>
      </c>
      <c r="C28" s="1">
        <f t="shared" si="9"/>
        <v>100</v>
      </c>
      <c r="D28" s="4">
        <v>0.08</v>
      </c>
      <c r="E28" s="5">
        <f t="shared" si="12"/>
        <v>3.989041095890411</v>
      </c>
      <c r="F28" s="1">
        <v>0</v>
      </c>
      <c r="G28" s="1">
        <f t="shared" si="13"/>
        <v>3.989041095890411</v>
      </c>
    </row>
    <row r="29" spans="1:7" x14ac:dyDescent="0.2">
      <c r="A29" s="1" t="s">
        <v>87</v>
      </c>
      <c r="B29" s="3">
        <v>47166</v>
      </c>
      <c r="C29" s="1">
        <f t="shared" si="9"/>
        <v>100</v>
      </c>
      <c r="D29" s="4">
        <v>0.08</v>
      </c>
      <c r="E29" s="5">
        <f t="shared" si="12"/>
        <v>4.0328767123287674</v>
      </c>
      <c r="F29" s="1">
        <v>0</v>
      </c>
      <c r="G29" s="1">
        <f t="shared" si="13"/>
        <v>4.0328767123287674</v>
      </c>
    </row>
    <row r="30" spans="1:7" x14ac:dyDescent="0.2">
      <c r="A30" s="1" t="s">
        <v>87</v>
      </c>
      <c r="B30" s="3">
        <v>47347</v>
      </c>
      <c r="C30" s="1">
        <f t="shared" si="9"/>
        <v>100</v>
      </c>
      <c r="D30" s="4">
        <v>0.08</v>
      </c>
      <c r="E30" s="5">
        <f t="shared" si="12"/>
        <v>3.967123287671233</v>
      </c>
      <c r="F30" s="1">
        <v>0</v>
      </c>
      <c r="G30" s="1">
        <f t="shared" si="13"/>
        <v>3.967123287671233</v>
      </c>
    </row>
    <row r="31" spans="1:7" x14ac:dyDescent="0.2">
      <c r="A31" s="1" t="s">
        <v>87</v>
      </c>
      <c r="B31" s="3">
        <v>47531</v>
      </c>
      <c r="C31" s="1">
        <f t="shared" si="9"/>
        <v>100</v>
      </c>
      <c r="D31" s="4">
        <v>0.08</v>
      </c>
      <c r="E31" s="5">
        <f t="shared" si="12"/>
        <v>4.0328767123287674</v>
      </c>
      <c r="F31" s="1">
        <v>0</v>
      </c>
      <c r="G31" s="1">
        <f t="shared" si="13"/>
        <v>4.0328767123287674</v>
      </c>
    </row>
    <row r="32" spans="1:7" x14ac:dyDescent="0.2">
      <c r="A32" s="1" t="s">
        <v>87</v>
      </c>
      <c r="B32" s="3">
        <v>47712</v>
      </c>
      <c r="C32" s="1">
        <f t="shared" si="9"/>
        <v>100</v>
      </c>
      <c r="D32" s="4">
        <v>0.08</v>
      </c>
      <c r="E32" s="5">
        <f t="shared" si="12"/>
        <v>3.967123287671233</v>
      </c>
      <c r="F32" s="1">
        <v>0</v>
      </c>
      <c r="G32" s="1">
        <f t="shared" si="13"/>
        <v>3.967123287671233</v>
      </c>
    </row>
    <row r="33" spans="1:7" x14ac:dyDescent="0.2">
      <c r="A33" s="1" t="s">
        <v>87</v>
      </c>
      <c r="B33" s="3">
        <v>47896</v>
      </c>
      <c r="C33" s="1">
        <f t="shared" si="9"/>
        <v>0</v>
      </c>
      <c r="D33" s="4">
        <v>0.08</v>
      </c>
      <c r="E33" s="5">
        <f t="shared" si="12"/>
        <v>4.0328767123287674</v>
      </c>
      <c r="F33" s="1">
        <v>100</v>
      </c>
      <c r="G33" s="1">
        <f t="shared" si="13"/>
        <v>104.03287671232877</v>
      </c>
    </row>
    <row r="35" spans="1:7" x14ac:dyDescent="0.2">
      <c r="A35" s="2" t="s">
        <v>0</v>
      </c>
      <c r="B35" s="2" t="s">
        <v>10</v>
      </c>
      <c r="C35" s="2" t="s">
        <v>11</v>
      </c>
      <c r="D35" s="2" t="s">
        <v>14</v>
      </c>
      <c r="E35" s="2" t="s">
        <v>12</v>
      </c>
      <c r="F35" s="2" t="s">
        <v>13</v>
      </c>
      <c r="G35" s="2" t="s">
        <v>15</v>
      </c>
    </row>
    <row r="36" spans="1:7" x14ac:dyDescent="0.2">
      <c r="A36" s="1" t="s">
        <v>88</v>
      </c>
      <c r="B36" s="3">
        <v>45805</v>
      </c>
      <c r="C36" s="1">
        <v>100</v>
      </c>
      <c r="D36" s="1">
        <v>0</v>
      </c>
      <c r="E36" s="1">
        <v>0</v>
      </c>
      <c r="F36" s="1">
        <v>0</v>
      </c>
      <c r="G36" s="1">
        <f>F36+E36</f>
        <v>0</v>
      </c>
    </row>
    <row r="37" spans="1:7" x14ac:dyDescent="0.2">
      <c r="A37" s="1" t="s">
        <v>88</v>
      </c>
      <c r="B37" s="3">
        <f>EDATE(B36,6)</f>
        <v>45989</v>
      </c>
      <c r="C37" s="1">
        <f t="shared" ref="C37:C53" si="14">C36-F37</f>
        <v>100</v>
      </c>
      <c r="D37" s="4">
        <v>9.2499999999999999E-2</v>
      </c>
      <c r="E37" s="5">
        <f>((D37*C36)/360)*DAYS360(B36,B37)</f>
        <v>4.625</v>
      </c>
      <c r="F37" s="1">
        <v>0</v>
      </c>
      <c r="G37" s="1">
        <f t="shared" ref="G37:G40" si="15">F37+E37</f>
        <v>4.625</v>
      </c>
    </row>
    <row r="38" spans="1:7" x14ac:dyDescent="0.2">
      <c r="A38" s="1" t="s">
        <v>88</v>
      </c>
      <c r="B38" s="3">
        <f t="shared" ref="B38:B53" si="16">EDATE(B37,6)</f>
        <v>46170</v>
      </c>
      <c r="C38" s="1">
        <f t="shared" si="14"/>
        <v>100</v>
      </c>
      <c r="D38" s="4">
        <v>9.2499999999999999E-2</v>
      </c>
      <c r="E38" s="5">
        <f t="shared" ref="E38:E53" si="17">((D38*C37)/360)*DAYS360(B37,B38)</f>
        <v>4.625</v>
      </c>
      <c r="F38" s="1">
        <v>0</v>
      </c>
      <c r="G38" s="1">
        <f t="shared" si="15"/>
        <v>4.625</v>
      </c>
    </row>
    <row r="39" spans="1:7" x14ac:dyDescent="0.2">
      <c r="A39" s="1" t="s">
        <v>88</v>
      </c>
      <c r="B39" s="3">
        <f t="shared" si="16"/>
        <v>46354</v>
      </c>
      <c r="C39" s="1">
        <f t="shared" si="14"/>
        <v>100</v>
      </c>
      <c r="D39" s="4">
        <v>9.2499999999999999E-2</v>
      </c>
      <c r="E39" s="5">
        <f t="shared" si="17"/>
        <v>4.625</v>
      </c>
      <c r="F39" s="1">
        <v>0</v>
      </c>
      <c r="G39" s="1">
        <f t="shared" si="15"/>
        <v>4.625</v>
      </c>
    </row>
    <row r="40" spans="1:7" x14ac:dyDescent="0.2">
      <c r="A40" s="1" t="s">
        <v>88</v>
      </c>
      <c r="B40" s="3">
        <f t="shared" si="16"/>
        <v>46535</v>
      </c>
      <c r="C40" s="1">
        <f t="shared" si="14"/>
        <v>100</v>
      </c>
      <c r="D40" s="4">
        <v>9.2499999999999999E-2</v>
      </c>
      <c r="E40" s="5">
        <f t="shared" si="17"/>
        <v>4.625</v>
      </c>
      <c r="F40" s="1">
        <v>0</v>
      </c>
      <c r="G40" s="1">
        <f t="shared" si="15"/>
        <v>4.625</v>
      </c>
    </row>
    <row r="41" spans="1:7" x14ac:dyDescent="0.2">
      <c r="A41" s="1" t="s">
        <v>88</v>
      </c>
      <c r="B41" s="3">
        <f t="shared" si="16"/>
        <v>46719</v>
      </c>
      <c r="C41" s="1">
        <f t="shared" si="14"/>
        <v>100</v>
      </c>
      <c r="D41" s="4">
        <v>9.2499999999999999E-2</v>
      </c>
      <c r="E41" s="5">
        <f t="shared" si="17"/>
        <v>4.625</v>
      </c>
      <c r="F41" s="1">
        <v>0</v>
      </c>
      <c r="G41" s="1">
        <f t="shared" ref="G41:G53" si="18">F41+E41</f>
        <v>4.625</v>
      </c>
    </row>
    <row r="42" spans="1:7" x14ac:dyDescent="0.2">
      <c r="A42" s="1" t="s">
        <v>88</v>
      </c>
      <c r="B42" s="3">
        <f t="shared" si="16"/>
        <v>46901</v>
      </c>
      <c r="C42" s="1">
        <f t="shared" si="14"/>
        <v>100</v>
      </c>
      <c r="D42" s="4">
        <v>9.2499999999999999E-2</v>
      </c>
      <c r="E42" s="5">
        <f t="shared" si="17"/>
        <v>4.625</v>
      </c>
      <c r="F42" s="1">
        <v>0</v>
      </c>
      <c r="G42" s="1">
        <f t="shared" si="18"/>
        <v>4.625</v>
      </c>
    </row>
    <row r="43" spans="1:7" x14ac:dyDescent="0.2">
      <c r="A43" s="1" t="s">
        <v>88</v>
      </c>
      <c r="B43" s="3">
        <f t="shared" si="16"/>
        <v>47085</v>
      </c>
      <c r="C43" s="1">
        <f t="shared" si="14"/>
        <v>100</v>
      </c>
      <c r="D43" s="4">
        <v>9.2499999999999999E-2</v>
      </c>
      <c r="E43" s="5">
        <f t="shared" si="17"/>
        <v>4.625</v>
      </c>
      <c r="F43" s="1">
        <v>0</v>
      </c>
      <c r="G43" s="1">
        <f t="shared" si="18"/>
        <v>4.625</v>
      </c>
    </row>
    <row r="44" spans="1:7" x14ac:dyDescent="0.2">
      <c r="A44" s="1" t="s">
        <v>88</v>
      </c>
      <c r="B44" s="3">
        <f t="shared" si="16"/>
        <v>47266</v>
      </c>
      <c r="C44" s="1">
        <f t="shared" si="14"/>
        <v>100</v>
      </c>
      <c r="D44" s="4">
        <v>9.2499999999999999E-2</v>
      </c>
      <c r="E44" s="5">
        <f t="shared" si="17"/>
        <v>4.625</v>
      </c>
      <c r="F44" s="1">
        <v>0</v>
      </c>
      <c r="G44" s="1">
        <f t="shared" si="18"/>
        <v>4.625</v>
      </c>
    </row>
    <row r="45" spans="1:7" x14ac:dyDescent="0.2">
      <c r="A45" s="1" t="s">
        <v>88</v>
      </c>
      <c r="B45" s="3">
        <f t="shared" si="16"/>
        <v>47450</v>
      </c>
      <c r="C45" s="1">
        <f t="shared" si="14"/>
        <v>100</v>
      </c>
      <c r="D45" s="4">
        <v>9.2499999999999999E-2</v>
      </c>
      <c r="E45" s="5">
        <f t="shared" si="17"/>
        <v>4.625</v>
      </c>
      <c r="F45" s="1">
        <v>0</v>
      </c>
      <c r="G45" s="1">
        <f t="shared" si="18"/>
        <v>4.625</v>
      </c>
    </row>
    <row r="46" spans="1:7" x14ac:dyDescent="0.2">
      <c r="A46" s="1" t="s">
        <v>88</v>
      </c>
      <c r="B46" s="3">
        <f t="shared" si="16"/>
        <v>47631</v>
      </c>
      <c r="C46" s="1">
        <f t="shared" si="14"/>
        <v>100</v>
      </c>
      <c r="D46" s="4">
        <v>9.2499999999999999E-2</v>
      </c>
      <c r="E46" s="5">
        <f t="shared" si="17"/>
        <v>4.625</v>
      </c>
      <c r="F46" s="1">
        <v>0</v>
      </c>
      <c r="G46" s="1">
        <f t="shared" si="18"/>
        <v>4.625</v>
      </c>
    </row>
    <row r="47" spans="1:7" x14ac:dyDescent="0.2">
      <c r="A47" s="1" t="s">
        <v>88</v>
      </c>
      <c r="B47" s="3">
        <f t="shared" si="16"/>
        <v>47815</v>
      </c>
      <c r="C47" s="1">
        <f t="shared" si="14"/>
        <v>100</v>
      </c>
      <c r="D47" s="4">
        <v>9.2499999999999999E-2</v>
      </c>
      <c r="E47" s="5">
        <f t="shared" si="17"/>
        <v>4.625</v>
      </c>
      <c r="F47" s="1">
        <v>0</v>
      </c>
      <c r="G47" s="1">
        <f t="shared" si="18"/>
        <v>4.625</v>
      </c>
    </row>
    <row r="48" spans="1:7" x14ac:dyDescent="0.2">
      <c r="A48" s="1" t="s">
        <v>88</v>
      </c>
      <c r="B48" s="3">
        <f t="shared" si="16"/>
        <v>47996</v>
      </c>
      <c r="C48" s="1">
        <f t="shared" si="14"/>
        <v>100</v>
      </c>
      <c r="D48" s="4">
        <v>9.2499999999999999E-2</v>
      </c>
      <c r="E48" s="5">
        <f t="shared" si="17"/>
        <v>4.625</v>
      </c>
      <c r="F48" s="1">
        <v>0</v>
      </c>
      <c r="G48" s="1">
        <f t="shared" si="18"/>
        <v>4.625</v>
      </c>
    </row>
    <row r="49" spans="1:7" x14ac:dyDescent="0.2">
      <c r="A49" s="1" t="s">
        <v>88</v>
      </c>
      <c r="B49" s="3">
        <f t="shared" si="16"/>
        <v>48180</v>
      </c>
      <c r="C49" s="1">
        <f t="shared" si="14"/>
        <v>100</v>
      </c>
      <c r="D49" s="4">
        <v>9.2499999999999999E-2</v>
      </c>
      <c r="E49" s="5">
        <f t="shared" si="17"/>
        <v>4.625</v>
      </c>
      <c r="F49" s="1">
        <v>0</v>
      </c>
      <c r="G49" s="1">
        <f t="shared" si="18"/>
        <v>4.625</v>
      </c>
    </row>
    <row r="50" spans="1:7" x14ac:dyDescent="0.2">
      <c r="A50" s="1" t="s">
        <v>88</v>
      </c>
      <c r="B50" s="3">
        <f t="shared" si="16"/>
        <v>48362</v>
      </c>
      <c r="C50" s="1">
        <f t="shared" si="14"/>
        <v>100</v>
      </c>
      <c r="D50" s="4">
        <v>9.2499999999999999E-2</v>
      </c>
      <c r="E50" s="5">
        <f t="shared" si="17"/>
        <v>4.625</v>
      </c>
      <c r="F50" s="1">
        <v>0</v>
      </c>
      <c r="G50" s="1">
        <f t="shared" si="18"/>
        <v>4.625</v>
      </c>
    </row>
    <row r="51" spans="1:7" x14ac:dyDescent="0.2">
      <c r="A51" s="1" t="s">
        <v>88</v>
      </c>
      <c r="B51" s="3">
        <f t="shared" si="16"/>
        <v>48546</v>
      </c>
      <c r="C51" s="1">
        <f t="shared" si="14"/>
        <v>50</v>
      </c>
      <c r="D51" s="4">
        <v>9.2499999999999999E-2</v>
      </c>
      <c r="E51" s="5">
        <f t="shared" si="17"/>
        <v>4.625</v>
      </c>
      <c r="F51" s="1">
        <v>50</v>
      </c>
      <c r="G51" s="1">
        <f t="shared" si="18"/>
        <v>54.625</v>
      </c>
    </row>
    <row r="52" spans="1:7" x14ac:dyDescent="0.2">
      <c r="A52" s="1" t="s">
        <v>88</v>
      </c>
      <c r="B52" s="3">
        <f t="shared" si="16"/>
        <v>48727</v>
      </c>
      <c r="C52" s="1">
        <f t="shared" si="14"/>
        <v>50</v>
      </c>
      <c r="D52" s="4">
        <v>9.2499999999999999E-2</v>
      </c>
      <c r="E52" s="5">
        <f t="shared" si="17"/>
        <v>2.3125</v>
      </c>
      <c r="F52" s="1">
        <v>0</v>
      </c>
      <c r="G52" s="1">
        <f t="shared" si="18"/>
        <v>2.3125</v>
      </c>
    </row>
    <row r="53" spans="1:7" x14ac:dyDescent="0.2">
      <c r="A53" s="1" t="s">
        <v>88</v>
      </c>
      <c r="B53" s="3">
        <f t="shared" si="16"/>
        <v>48911</v>
      </c>
      <c r="C53" s="1">
        <f t="shared" si="14"/>
        <v>0</v>
      </c>
      <c r="D53" s="4">
        <v>9.2499999999999999E-2</v>
      </c>
      <c r="E53" s="5">
        <f t="shared" si="17"/>
        <v>2.3125</v>
      </c>
      <c r="F53" s="1">
        <v>50</v>
      </c>
      <c r="G53" s="1">
        <f t="shared" si="18"/>
        <v>52.3125</v>
      </c>
    </row>
    <row r="55" spans="1:7" x14ac:dyDescent="0.2">
      <c r="A55" s="2" t="s">
        <v>0</v>
      </c>
      <c r="B55" s="2" t="s">
        <v>10</v>
      </c>
      <c r="C55" s="2" t="s">
        <v>11</v>
      </c>
      <c r="D55" s="2" t="s">
        <v>14</v>
      </c>
      <c r="E55" s="2" t="s">
        <v>12</v>
      </c>
      <c r="F55" s="2" t="s">
        <v>13</v>
      </c>
      <c r="G55" s="2" t="s">
        <v>15</v>
      </c>
    </row>
    <row r="56" spans="1:7" x14ac:dyDescent="0.2">
      <c r="A56" s="1" t="s">
        <v>89</v>
      </c>
      <c r="B56" s="3">
        <v>45993</v>
      </c>
      <c r="C56" s="1">
        <v>100</v>
      </c>
      <c r="D56" s="1">
        <v>0</v>
      </c>
      <c r="E56" s="1">
        <v>0</v>
      </c>
      <c r="F56" s="1">
        <v>0</v>
      </c>
      <c r="G56" s="1">
        <f>F56+E56</f>
        <v>0</v>
      </c>
    </row>
    <row r="57" spans="1:7" x14ac:dyDescent="0.2">
      <c r="A57" s="1" t="s">
        <v>89</v>
      </c>
      <c r="B57" s="3">
        <v>46175</v>
      </c>
      <c r="C57" s="1">
        <f t="shared" ref="C57:C72" si="19">C56-F57</f>
        <v>100</v>
      </c>
      <c r="D57" s="4">
        <v>7.7499999999999999E-2</v>
      </c>
      <c r="E57" s="5">
        <f>((D57*C56)/360)*DAYS360(B56,B57)</f>
        <v>3.875</v>
      </c>
      <c r="F57" s="1">
        <v>0</v>
      </c>
      <c r="G57" s="1">
        <f t="shared" ref="G57:G59" si="20">F57+E57</f>
        <v>3.875</v>
      </c>
    </row>
    <row r="58" spans="1:7" x14ac:dyDescent="0.2">
      <c r="A58" s="1" t="s">
        <v>89</v>
      </c>
      <c r="B58" s="3">
        <v>46358</v>
      </c>
      <c r="C58" s="1">
        <f t="shared" si="19"/>
        <v>100</v>
      </c>
      <c r="D58" s="4">
        <v>7.7499999999999999E-2</v>
      </c>
      <c r="E58" s="5">
        <f t="shared" ref="E58:E59" si="21">((D58*C57)/360)*DAYS360(B57,B58)</f>
        <v>3.875</v>
      </c>
      <c r="F58" s="1">
        <v>0</v>
      </c>
      <c r="G58" s="1">
        <f t="shared" si="20"/>
        <v>3.875</v>
      </c>
    </row>
    <row r="59" spans="1:7" x14ac:dyDescent="0.2">
      <c r="A59" s="1" t="s">
        <v>89</v>
      </c>
      <c r="B59" s="3">
        <v>46540</v>
      </c>
      <c r="C59" s="1">
        <f t="shared" si="19"/>
        <v>100</v>
      </c>
      <c r="D59" s="4">
        <v>7.7499999999999999E-2</v>
      </c>
      <c r="E59" s="5">
        <f t="shared" si="21"/>
        <v>3.875</v>
      </c>
      <c r="F59" s="1">
        <v>0</v>
      </c>
      <c r="G59" s="1">
        <f t="shared" si="20"/>
        <v>3.875</v>
      </c>
    </row>
    <row r="60" spans="1:7" x14ac:dyDescent="0.2">
      <c r="A60" s="1" t="s">
        <v>89</v>
      </c>
      <c r="B60" s="3">
        <v>46723</v>
      </c>
      <c r="C60" s="1">
        <f t="shared" si="19"/>
        <v>100</v>
      </c>
      <c r="D60" s="4">
        <v>7.7499999999999999E-2</v>
      </c>
      <c r="E60" s="5">
        <f t="shared" ref="E60:E72" si="22">((D60*C59)/360)*DAYS360(B59,B60)</f>
        <v>3.875</v>
      </c>
      <c r="F60" s="1">
        <v>0</v>
      </c>
      <c r="G60" s="1">
        <f t="shared" ref="G60:G72" si="23">F60+E60</f>
        <v>3.875</v>
      </c>
    </row>
    <row r="61" spans="1:7" x14ac:dyDescent="0.2">
      <c r="A61" s="1" t="s">
        <v>89</v>
      </c>
      <c r="B61" s="3">
        <v>46906</v>
      </c>
      <c r="C61" s="1">
        <f t="shared" si="19"/>
        <v>100</v>
      </c>
      <c r="D61" s="4">
        <v>7.7499999999999999E-2</v>
      </c>
      <c r="E61" s="5">
        <f t="shared" si="22"/>
        <v>3.875</v>
      </c>
      <c r="F61" s="1">
        <v>0</v>
      </c>
      <c r="G61" s="1">
        <f t="shared" si="23"/>
        <v>3.875</v>
      </c>
    </row>
    <row r="62" spans="1:7" x14ac:dyDescent="0.2">
      <c r="A62" s="1" t="s">
        <v>89</v>
      </c>
      <c r="B62" s="3">
        <v>47089</v>
      </c>
      <c r="C62" s="1">
        <f t="shared" si="19"/>
        <v>100</v>
      </c>
      <c r="D62" s="4">
        <v>7.7499999999999999E-2</v>
      </c>
      <c r="E62" s="5">
        <f t="shared" si="22"/>
        <v>3.875</v>
      </c>
      <c r="F62" s="1">
        <v>0</v>
      </c>
      <c r="G62" s="1">
        <f t="shared" si="23"/>
        <v>3.875</v>
      </c>
    </row>
    <row r="63" spans="1:7" x14ac:dyDescent="0.2">
      <c r="A63" s="1" t="s">
        <v>89</v>
      </c>
      <c r="B63" s="3">
        <v>47271</v>
      </c>
      <c r="C63" s="1">
        <f t="shared" si="19"/>
        <v>100</v>
      </c>
      <c r="D63" s="4">
        <v>7.7499999999999999E-2</v>
      </c>
      <c r="E63" s="5">
        <f t="shared" si="22"/>
        <v>3.875</v>
      </c>
      <c r="F63" s="1">
        <v>0</v>
      </c>
      <c r="G63" s="1">
        <f t="shared" si="23"/>
        <v>3.875</v>
      </c>
    </row>
    <row r="64" spans="1:7" x14ac:dyDescent="0.2">
      <c r="A64" s="1" t="s">
        <v>89</v>
      </c>
      <c r="B64" s="3">
        <v>47454</v>
      </c>
      <c r="C64" s="1">
        <f t="shared" si="19"/>
        <v>100</v>
      </c>
      <c r="D64" s="4">
        <v>7.7499999999999999E-2</v>
      </c>
      <c r="E64" s="5">
        <f t="shared" si="22"/>
        <v>3.875</v>
      </c>
      <c r="F64" s="1">
        <v>0</v>
      </c>
      <c r="G64" s="1">
        <f t="shared" si="23"/>
        <v>3.875</v>
      </c>
    </row>
    <row r="65" spans="1:7" x14ac:dyDescent="0.2">
      <c r="A65" s="1" t="s">
        <v>89</v>
      </c>
      <c r="B65" s="3">
        <v>47636</v>
      </c>
      <c r="C65" s="1">
        <f t="shared" si="19"/>
        <v>100</v>
      </c>
      <c r="D65" s="4">
        <v>7.7499999999999999E-2</v>
      </c>
      <c r="E65" s="5">
        <f t="shared" si="22"/>
        <v>3.875</v>
      </c>
      <c r="F65" s="1">
        <v>0</v>
      </c>
      <c r="G65" s="1">
        <f t="shared" si="23"/>
        <v>3.875</v>
      </c>
    </row>
    <row r="66" spans="1:7" x14ac:dyDescent="0.2">
      <c r="A66" s="1" t="s">
        <v>89</v>
      </c>
      <c r="B66" s="3">
        <v>47819</v>
      </c>
      <c r="C66" s="1">
        <f t="shared" si="19"/>
        <v>100</v>
      </c>
      <c r="D66" s="4">
        <v>7.7499999999999999E-2</v>
      </c>
      <c r="E66" s="5">
        <f t="shared" si="22"/>
        <v>3.875</v>
      </c>
      <c r="F66" s="1">
        <v>0</v>
      </c>
      <c r="G66" s="1">
        <f t="shared" si="23"/>
        <v>3.875</v>
      </c>
    </row>
    <row r="67" spans="1:7" x14ac:dyDescent="0.2">
      <c r="A67" s="1" t="s">
        <v>89</v>
      </c>
      <c r="B67" s="3">
        <v>48001</v>
      </c>
      <c r="C67" s="1">
        <f t="shared" si="19"/>
        <v>100</v>
      </c>
      <c r="D67" s="4">
        <v>7.7499999999999999E-2</v>
      </c>
      <c r="E67" s="5">
        <f t="shared" si="22"/>
        <v>3.875</v>
      </c>
      <c r="F67" s="1">
        <v>0</v>
      </c>
      <c r="G67" s="1">
        <f t="shared" si="23"/>
        <v>3.875</v>
      </c>
    </row>
    <row r="68" spans="1:7" x14ac:dyDescent="0.2">
      <c r="A68" s="1" t="s">
        <v>89</v>
      </c>
      <c r="B68" s="3">
        <v>48184</v>
      </c>
      <c r="C68" s="1">
        <f t="shared" si="19"/>
        <v>67</v>
      </c>
      <c r="D68" s="4">
        <v>7.7499999999999999E-2</v>
      </c>
      <c r="E68" s="5">
        <f t="shared" si="22"/>
        <v>3.875</v>
      </c>
      <c r="F68" s="1">
        <v>33</v>
      </c>
      <c r="G68" s="1">
        <f t="shared" si="23"/>
        <v>36.875</v>
      </c>
    </row>
    <row r="69" spans="1:7" x14ac:dyDescent="0.2">
      <c r="A69" s="1" t="s">
        <v>89</v>
      </c>
      <c r="B69" s="3">
        <v>48367</v>
      </c>
      <c r="C69" s="1">
        <f t="shared" si="19"/>
        <v>67</v>
      </c>
      <c r="D69" s="4">
        <v>7.7499999999999999E-2</v>
      </c>
      <c r="E69" s="5">
        <f t="shared" si="22"/>
        <v>2.5962499999999999</v>
      </c>
      <c r="F69" s="1">
        <v>0</v>
      </c>
      <c r="G69" s="1">
        <f t="shared" si="23"/>
        <v>2.5962499999999999</v>
      </c>
    </row>
    <row r="70" spans="1:7" x14ac:dyDescent="0.2">
      <c r="A70" s="1" t="s">
        <v>89</v>
      </c>
      <c r="B70" s="3">
        <v>48550</v>
      </c>
      <c r="C70" s="1">
        <f t="shared" si="19"/>
        <v>34</v>
      </c>
      <c r="D70" s="4">
        <v>7.7499999999999999E-2</v>
      </c>
      <c r="E70" s="5">
        <f t="shared" si="22"/>
        <v>2.5962499999999999</v>
      </c>
      <c r="F70" s="1">
        <v>33</v>
      </c>
      <c r="G70" s="1">
        <f t="shared" si="23"/>
        <v>35.596249999999998</v>
      </c>
    </row>
    <row r="71" spans="1:7" x14ac:dyDescent="0.2">
      <c r="A71" s="1" t="s">
        <v>89</v>
      </c>
      <c r="B71" s="3">
        <v>48732</v>
      </c>
      <c r="C71" s="1">
        <f t="shared" si="19"/>
        <v>34</v>
      </c>
      <c r="D71" s="4">
        <v>7.7499999999999999E-2</v>
      </c>
      <c r="E71" s="5">
        <f t="shared" si="22"/>
        <v>1.3174999999999999</v>
      </c>
      <c r="F71" s="1">
        <v>0</v>
      </c>
      <c r="G71" s="1">
        <f t="shared" si="23"/>
        <v>1.3174999999999999</v>
      </c>
    </row>
    <row r="72" spans="1:7" x14ac:dyDescent="0.2">
      <c r="A72" s="1" t="s">
        <v>89</v>
      </c>
      <c r="B72" s="3">
        <v>48915</v>
      </c>
      <c r="C72" s="1">
        <f t="shared" si="19"/>
        <v>0</v>
      </c>
      <c r="D72" s="4">
        <v>7.7499999999999999E-2</v>
      </c>
      <c r="E72" s="5">
        <f t="shared" si="22"/>
        <v>1.3174999999999999</v>
      </c>
      <c r="F72" s="1">
        <v>34</v>
      </c>
      <c r="G72" s="1">
        <f t="shared" si="23"/>
        <v>35.317500000000003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baseColWidth="10" defaultRowHeight="15"/>
  <cols>
    <col min="1" max="3" width="22" customWidth="1"/>
  </cols>
  <sheetData>
    <row r="1" spans="1:3">
      <c r="A1" s="2" t="s">
        <v>0</v>
      </c>
      <c r="B1" s="2" t="s">
        <v>108</v>
      </c>
      <c r="C1" s="2" t="s">
        <v>3</v>
      </c>
    </row>
    <row r="2" spans="1:3">
      <c r="A2" s="1" t="s">
        <v>128</v>
      </c>
      <c r="B2" s="1" t="s">
        <v>129</v>
      </c>
      <c r="C2" s="3">
        <v>47196</v>
      </c>
    </row>
    <row r="3" spans="1:3">
      <c r="A3" s="1" t="s">
        <v>130</v>
      </c>
      <c r="B3" s="1" t="s">
        <v>158</v>
      </c>
      <c r="C3" s="3">
        <v>47600</v>
      </c>
    </row>
    <row r="4" spans="1:3">
      <c r="A4" s="1" t="s">
        <v>120</v>
      </c>
      <c r="B4" s="1" t="s">
        <v>121</v>
      </c>
      <c r="C4" s="3">
        <v>48397</v>
      </c>
    </row>
    <row r="5" spans="1:3">
      <c r="A5" s="1" t="s">
        <v>126</v>
      </c>
      <c r="B5" s="1" t="s">
        <v>161</v>
      </c>
      <c r="C5" s="3">
        <v>48642</v>
      </c>
    </row>
    <row r="6" spans="1:3">
      <c r="A6" s="1" t="s">
        <v>461</v>
      </c>
      <c r="B6" s="1" t="s">
        <v>462</v>
      </c>
      <c r="C6" s="3">
        <v>49181</v>
      </c>
    </row>
    <row r="7" spans="1:3">
      <c r="A7" s="1" t="s">
        <v>164</v>
      </c>
      <c r="B7" s="1" t="s">
        <v>165</v>
      </c>
      <c r="C7" s="3">
        <v>49289</v>
      </c>
    </row>
    <row r="8" spans="1:3">
      <c r="A8" s="1" t="s">
        <v>122</v>
      </c>
      <c r="B8" s="1" t="s">
        <v>123</v>
      </c>
      <c r="C8" s="3">
        <v>49343</v>
      </c>
    </row>
    <row r="9" spans="1:3">
      <c r="A9" s="1" t="s">
        <v>423</v>
      </c>
      <c r="B9" s="1" t="s">
        <v>119</v>
      </c>
      <c r="C9" s="3">
        <v>49794</v>
      </c>
    </row>
    <row r="10" spans="1:3">
      <c r="A10" s="1" t="s">
        <v>116</v>
      </c>
      <c r="B10" s="1" t="s">
        <v>117</v>
      </c>
      <c r="C10" s="3">
        <v>49808</v>
      </c>
    </row>
    <row r="11" spans="1:3">
      <c r="A11" s="1" t="s">
        <v>110</v>
      </c>
      <c r="B11" s="1" t="s">
        <v>166</v>
      </c>
      <c r="C11" s="3">
        <v>50284</v>
      </c>
    </row>
    <row r="12" spans="1:3">
      <c r="A12" s="1" t="s">
        <v>112</v>
      </c>
      <c r="B12" s="1" t="s">
        <v>167</v>
      </c>
      <c r="C12" s="3">
        <v>50284</v>
      </c>
    </row>
    <row r="13" spans="1:3">
      <c r="A13" s="1" t="inlineStr">
        <is>
          <t>BDC33</t>
        </is>
      </c>
      <c r="B13" s="1" t="inlineStr">
        <is>
          <t>CABA 2033</t>
        </is>
      </c>
      <c r="C13" s="3">
        <v>48909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baseColWidth="10" defaultRowHeight="15"/>
  <cols>
    <col min="1" max="1" width="10"/>
    <col min="2" max="2" width="26"/>
    <col min="3" max="3" width="18"/>
    <col min="4" max="5" width="10"/>
  </cols>
  <sheetData>
    <row r="1" spans="1:5">
      <c r="A1" s="2" t="s">
        <v>0</v>
      </c>
      <c r="B1" s="2" t="s">
        <v>108</v>
      </c>
      <c r="C1" s="2" t="s">
        <v>3</v>
      </c>
      <c r="D1" s="2" t="s">
        <v>172</v>
      </c>
      <c r="E1" s="2" t="s">
        <v>173</v>
      </c>
    </row>
    <row r="5" spans="1:5">
      <c r="A5" s="1" t="s">
        <v>435</v>
      </c>
      <c r="B5" s="1" t="s">
        <v>436</v>
      </c>
      <c r="C5" s="3">
        <v>46301</v>
      </c>
      <c r="D5" s="1" t="s">
        <v>242</v>
      </c>
      <c r="E5" s="1" t="s">
        <v>448</v>
      </c>
    </row>
    <row r="6" spans="1:5">
      <c r="A6" s="1" t="s">
        <v>308</v>
      </c>
      <c r="B6" s="1" t="s">
        <v>309</v>
      </c>
      <c r="C6" s="3">
        <v>46348</v>
      </c>
      <c r="D6" s="1" t="s">
        <v>242</v>
      </c>
      <c r="E6" s="1" t="s">
        <v>448</v>
      </c>
    </row>
    <row r="7" spans="1:5">
      <c r="A7" s="1" t="s">
        <v>443</v>
      </c>
      <c r="B7" s="1" t="s">
        <v>444</v>
      </c>
      <c r="C7" s="3">
        <v>46436</v>
      </c>
      <c r="D7" s="1" t="s">
        <v>242</v>
      </c>
      <c r="E7" s="1" t="s">
        <v>448</v>
      </c>
    </row>
    <row r="8" spans="1:5">
      <c r="A8" s="1" t="s">
        <v>437</v>
      </c>
      <c r="B8" s="1" t="s">
        <v>438</v>
      </c>
      <c r="C8" s="3">
        <v>46445</v>
      </c>
      <c r="D8" s="1" t="s">
        <v>242</v>
      </c>
      <c r="E8" s="1" t="s">
        <v>448</v>
      </c>
    </row>
    <row r="9" spans="1:5">
      <c r="A9" s="1" t="s">
        <v>269</v>
      </c>
      <c r="B9" s="1" t="s">
        <v>270</v>
      </c>
      <c r="C9" s="3">
        <v>46514</v>
      </c>
      <c r="D9" s="1" t="s">
        <v>242</v>
      </c>
      <c r="E9" s="1" t="s">
        <v>448</v>
      </c>
    </row>
    <row r="10" spans="1:5">
      <c r="A10" s="1" t="s">
        <v>439</v>
      </c>
      <c r="B10" s="1" t="s">
        <v>440</v>
      </c>
      <c r="C10" s="3">
        <v>46527</v>
      </c>
      <c r="D10" s="1" t="s">
        <v>242</v>
      </c>
      <c r="E10" s="1" t="s">
        <v>448</v>
      </c>
    </row>
    <row r="12" spans="1:5">
      <c r="A12" s="1" t="s">
        <v>286</v>
      </c>
      <c r="B12" s="1" t="s">
        <v>287</v>
      </c>
      <c r="C12" s="3">
        <v>46534</v>
      </c>
      <c r="D12" s="1" t="s">
        <v>242</v>
      </c>
      <c r="E12" s="1" t="s">
        <v>448</v>
      </c>
    </row>
    <row r="13" spans="1:5">
      <c r="A13" s="1" t="s">
        <v>445</v>
      </c>
      <c r="B13" s="1" t="s">
        <v>446</v>
      </c>
      <c r="C13" s="3">
        <v>46574</v>
      </c>
      <c r="D13" s="1" t="s">
        <v>242</v>
      </c>
      <c r="E13" s="1" t="s">
        <v>448</v>
      </c>
    </row>
    <row r="14" spans="1:5">
      <c r="A14" s="1" t="s">
        <v>298</v>
      </c>
      <c r="B14" s="1" t="s">
        <v>299</v>
      </c>
      <c r="C14" s="3">
        <v>46582</v>
      </c>
      <c r="D14" s="1" t="s">
        <v>242</v>
      </c>
      <c r="E14" s="1" t="s">
        <v>448</v>
      </c>
    </row>
    <row r="15" spans="1:5">
      <c r="A15" s="1" t="s">
        <v>271</v>
      </c>
      <c r="B15" s="1" t="s">
        <v>272</v>
      </c>
      <c r="C15" s="3">
        <v>46590</v>
      </c>
      <c r="D15" s="1" t="s">
        <v>242</v>
      </c>
      <c r="E15" s="1" t="s">
        <v>448</v>
      </c>
    </row>
    <row r="16" spans="1:5">
      <c r="A16" s="1" t="s">
        <v>292</v>
      </c>
      <c r="B16" s="1" t="s">
        <v>293</v>
      </c>
      <c r="C16" s="3">
        <v>46592</v>
      </c>
      <c r="D16" s="1" t="s">
        <v>242</v>
      </c>
      <c r="E16" s="1" t="s">
        <v>448</v>
      </c>
    </row>
    <row r="17" spans="1:5">
      <c r="A17" s="1" t="s">
        <v>247</v>
      </c>
      <c r="B17" s="1" t="s">
        <v>248</v>
      </c>
      <c r="C17" s="3">
        <v>46610</v>
      </c>
      <c r="D17" s="1" t="s">
        <v>242</v>
      </c>
      <c r="E17" s="1" t="s">
        <v>447</v>
      </c>
    </row>
    <row r="18" spans="1:5">
      <c r="A18" s="1" t="s">
        <v>86</v>
      </c>
      <c r="B18" s="1" t="s">
        <v>315</v>
      </c>
      <c r="C18" s="3">
        <v>46690</v>
      </c>
      <c r="D18" s="1" t="s">
        <v>242</v>
      </c>
      <c r="E18" s="1" t="s">
        <v>448</v>
      </c>
    </row>
    <row r="19" spans="1:5">
      <c r="A19" s="1" t="s">
        <v>306</v>
      </c>
      <c r="B19" s="1" t="s">
        <v>307</v>
      </c>
      <c r="C19" s="3">
        <v>46720</v>
      </c>
      <c r="D19" s="1" t="s">
        <v>242</v>
      </c>
      <c r="E19" s="1" t="s">
        <v>448</v>
      </c>
    </row>
    <row r="20" spans="1:5">
      <c r="A20" s="1" t="s">
        <v>320</v>
      </c>
      <c r="B20" s="1" t="s">
        <v>321</v>
      </c>
      <c r="C20" s="3">
        <v>46873</v>
      </c>
      <c r="D20" s="1" t="s">
        <v>242</v>
      </c>
      <c r="E20" s="1" t="s">
        <v>448</v>
      </c>
    </row>
    <row r="21" spans="1:5">
      <c r="A21" s="1" t="s">
        <v>294</v>
      </c>
      <c r="B21" s="1" t="s">
        <v>295</v>
      </c>
      <c r="C21" s="3">
        <v>46901</v>
      </c>
      <c r="D21" s="1" t="s">
        <v>242</v>
      </c>
      <c r="E21" s="1" t="s">
        <v>448</v>
      </c>
    </row>
    <row r="22" spans="1:5">
      <c r="A22" s="1" t="s">
        <v>284</v>
      </c>
      <c r="B22" s="1" t="s">
        <v>285</v>
      </c>
      <c r="C22" s="3">
        <v>46907</v>
      </c>
      <c r="D22" s="1" t="s">
        <v>242</v>
      </c>
      <c r="E22" s="1" t="s">
        <v>448</v>
      </c>
    </row>
    <row r="23" spans="1:5">
      <c r="A23" s="1" t="s">
        <v>240</v>
      </c>
      <c r="B23" s="1" t="s">
        <v>241</v>
      </c>
      <c r="C23" s="3">
        <v>46916</v>
      </c>
      <c r="D23" s="1" t="s">
        <v>242</v>
      </c>
      <c r="E23" s="1" t="s">
        <v>448</v>
      </c>
    </row>
    <row r="24" spans="1:5">
      <c r="A24" s="1" t="s">
        <v>190</v>
      </c>
      <c r="B24" s="1" t="s">
        <v>191</v>
      </c>
      <c r="C24" s="3">
        <v>46926</v>
      </c>
      <c r="D24" s="1" t="s">
        <v>176</v>
      </c>
      <c r="E24" s="1" t="s">
        <v>447</v>
      </c>
    </row>
    <row r="25" spans="1:5">
      <c r="A25" s="1" t="s">
        <v>322</v>
      </c>
      <c r="B25" s="1" t="s">
        <v>323</v>
      </c>
      <c r="C25" s="3">
        <v>46945</v>
      </c>
      <c r="D25" s="1" t="s">
        <v>242</v>
      </c>
      <c r="E25" s="1" t="s">
        <v>448</v>
      </c>
    </row>
    <row r="26" spans="1:5">
      <c r="A26" s="1" t="s">
        <v>310</v>
      </c>
      <c r="B26" s="1" t="s">
        <v>311</v>
      </c>
      <c r="C26" s="3">
        <v>46970</v>
      </c>
      <c r="D26" s="1" t="s">
        <v>242</v>
      </c>
      <c r="E26" s="1" t="s">
        <v>448</v>
      </c>
    </row>
    <row r="27" spans="1:5">
      <c r="A27" s="1" t="s">
        <v>255</v>
      </c>
      <c r="B27" s="1" t="s">
        <v>256</v>
      </c>
      <c r="C27" s="3">
        <v>46971</v>
      </c>
      <c r="D27" s="1" t="s">
        <v>242</v>
      </c>
      <c r="E27" s="1" t="s">
        <v>447</v>
      </c>
    </row>
    <row r="28" spans="1:5">
      <c r="A28" s="1" t="s">
        <v>174</v>
      </c>
      <c r="B28" s="1" t="s">
        <v>175</v>
      </c>
      <c r="C28" s="3">
        <v>47036</v>
      </c>
      <c r="D28" s="1" t="s">
        <v>176</v>
      </c>
      <c r="E28" s="1" t="s">
        <v>447</v>
      </c>
    </row>
    <row r="29" spans="1:5">
      <c r="A29" s="1" t="s">
        <v>273</v>
      </c>
      <c r="B29" s="1" t="s">
        <v>274</v>
      </c>
      <c r="C29" s="3">
        <v>47036</v>
      </c>
      <c r="D29" s="1" t="s">
        <v>242</v>
      </c>
      <c r="E29" s="1" t="s">
        <v>448</v>
      </c>
    </row>
    <row r="30" spans="1:5">
      <c r="A30" s="1" t="s">
        <v>324</v>
      </c>
      <c r="B30" s="1" t="s">
        <v>325</v>
      </c>
      <c r="C30" s="3">
        <v>47072</v>
      </c>
      <c r="D30" s="1" t="s">
        <v>242</v>
      </c>
      <c r="E30" s="1" t="s">
        <v>448</v>
      </c>
    </row>
    <row r="31" spans="1:5">
      <c r="A31" s="1" t="s">
        <v>288</v>
      </c>
      <c r="B31" s="1" t="s">
        <v>289</v>
      </c>
      <c r="C31" s="3">
        <v>47095</v>
      </c>
      <c r="D31" s="1" t="s">
        <v>242</v>
      </c>
      <c r="E31" s="1" t="s">
        <v>448</v>
      </c>
    </row>
    <row r="32" spans="1:5">
      <c r="A32" s="1" t="s">
        <v>441</v>
      </c>
      <c r="B32" s="1" t="s">
        <v>442</v>
      </c>
      <c r="C32" s="3">
        <v>47175</v>
      </c>
      <c r="D32" s="1" t="s">
        <v>242</v>
      </c>
      <c r="E32" s="1" t="s">
        <v>448</v>
      </c>
    </row>
    <row r="33" spans="1:5">
      <c r="A33" s="1" t="s">
        <v>263</v>
      </c>
      <c r="B33" s="1" t="s">
        <v>264</v>
      </c>
      <c r="C33" s="3">
        <v>47176</v>
      </c>
      <c r="D33" s="1" t="s">
        <v>242</v>
      </c>
      <c r="E33" s="1" t="s">
        <v>448</v>
      </c>
    </row>
    <row r="34" spans="1:5">
      <c r="A34" s="1" t="s">
        <v>275</v>
      </c>
      <c r="B34" s="1" t="s">
        <v>231</v>
      </c>
      <c r="C34" s="3">
        <v>47179</v>
      </c>
      <c r="D34" s="1" t="s">
        <v>242</v>
      </c>
      <c r="E34" s="1" t="s">
        <v>448</v>
      </c>
    </row>
    <row r="35" spans="1:5">
      <c r="A35" s="1" t="s">
        <v>316</v>
      </c>
      <c r="B35" s="1" t="s">
        <v>317</v>
      </c>
      <c r="C35" s="3">
        <v>47182</v>
      </c>
      <c r="D35" s="1" t="s">
        <v>242</v>
      </c>
      <c r="E35" s="1" t="s">
        <v>448</v>
      </c>
    </row>
    <row r="36" spans="1:5">
      <c r="A36" s="1" t="s">
        <v>259</v>
      </c>
      <c r="B36" s="1" t="s">
        <v>260</v>
      </c>
      <c r="C36" s="3">
        <v>47187</v>
      </c>
      <c r="D36" s="1" t="s">
        <v>242</v>
      </c>
      <c r="E36" s="1" t="s">
        <v>448</v>
      </c>
    </row>
    <row r="37" spans="1:5">
      <c r="A37" s="1" t="s">
        <v>257</v>
      </c>
      <c r="B37" s="1" t="s">
        <v>258</v>
      </c>
      <c r="C37" s="3">
        <v>47209</v>
      </c>
      <c r="D37" s="1" t="s">
        <v>242</v>
      </c>
      <c r="E37" s="1" t="s">
        <v>448</v>
      </c>
    </row>
    <row r="38" spans="1:5">
      <c r="A38" s="1" t="s">
        <v>300</v>
      </c>
      <c r="B38" s="1" t="s">
        <v>301</v>
      </c>
      <c r="C38" s="3">
        <v>47273</v>
      </c>
      <c r="D38" s="1" t="s">
        <v>242</v>
      </c>
      <c r="E38" s="1" t="s">
        <v>448</v>
      </c>
    </row>
    <row r="39" spans="1:5">
      <c r="A39" s="1" t="s">
        <v>243</v>
      </c>
      <c r="B39" s="1" t="s">
        <v>244</v>
      </c>
      <c r="C39" s="3">
        <v>47274</v>
      </c>
      <c r="D39" s="1" t="s">
        <v>242</v>
      </c>
      <c r="E39" s="1" t="s">
        <v>448</v>
      </c>
    </row>
    <row r="40" spans="1:5">
      <c r="A40" s="1" t="s">
        <v>230</v>
      </c>
      <c r="B40" s="1" t="s">
        <v>231</v>
      </c>
      <c r="C40" s="3">
        <v>47299</v>
      </c>
      <c r="D40" s="1" t="s">
        <v>176</v>
      </c>
      <c r="E40" s="1" t="s">
        <v>447</v>
      </c>
    </row>
    <row r="41" spans="1:5">
      <c r="A41" s="1" t="s">
        <v>312</v>
      </c>
      <c r="B41" s="1" t="s">
        <v>313</v>
      </c>
      <c r="C41" s="3">
        <v>47302</v>
      </c>
      <c r="D41" s="1" t="s">
        <v>242</v>
      </c>
      <c r="E41" s="1" t="s">
        <v>447</v>
      </c>
    </row>
    <row r="42" spans="1:5">
      <c r="A42" s="1" t="s">
        <v>449</v>
      </c>
      <c r="B42" s="1" t="s">
        <v>450</v>
      </c>
      <c r="C42" s="3">
        <v>47315</v>
      </c>
      <c r="D42" s="1" t="s">
        <v>242</v>
      </c>
      <c r="E42" s="1" t="s">
        <v>448</v>
      </c>
    </row>
    <row r="43" spans="1:5">
      <c r="A43" s="1" t="s">
        <v>457</v>
      </c>
      <c r="B43" s="1" t="s">
        <v>458</v>
      </c>
      <c r="C43" s="3">
        <v>47326</v>
      </c>
      <c r="D43" s="1" t="s">
        <v>242</v>
      </c>
      <c r="E43" s="1" t="s">
        <v>448</v>
      </c>
    </row>
    <row r="44" spans="1:5">
      <c r="A44" s="1" t="s">
        <v>302</v>
      </c>
      <c r="B44" s="1" t="s">
        <v>303</v>
      </c>
      <c r="C44" s="3">
        <v>47355</v>
      </c>
      <c r="D44" s="1" t="s">
        <v>242</v>
      </c>
      <c r="E44" s="1" t="s">
        <v>447</v>
      </c>
    </row>
    <row r="45" spans="1:5">
      <c r="A45" s="1" t="s">
        <v>249</v>
      </c>
      <c r="B45" s="1" t="s">
        <v>250</v>
      </c>
      <c r="C45" s="3">
        <v>47357</v>
      </c>
      <c r="D45" s="1" t="s">
        <v>242</v>
      </c>
      <c r="E45" s="1" t="s">
        <v>448</v>
      </c>
    </row>
    <row r="46" spans="1:5">
      <c r="A46" s="1" t="s">
        <v>251</v>
      </c>
      <c r="B46" s="1" t="s">
        <v>252</v>
      </c>
      <c r="C46" s="3">
        <v>47388</v>
      </c>
      <c r="D46" s="1" t="s">
        <v>242</v>
      </c>
      <c r="E46" s="1" t="s">
        <v>448</v>
      </c>
    </row>
    <row r="47" spans="1:5">
      <c r="A47" s="1" t="s">
        <v>433</v>
      </c>
      <c r="B47" s="1" t="s">
        <v>434</v>
      </c>
      <c r="C47" s="3">
        <v>47430</v>
      </c>
      <c r="D47" s="1" t="s">
        <v>242</v>
      </c>
      <c r="E47" s="1" t="s">
        <v>448</v>
      </c>
    </row>
    <row r="48" spans="1:5">
      <c r="A48" s="1" t="s">
        <v>265</v>
      </c>
      <c r="B48" s="1" t="s">
        <v>266</v>
      </c>
      <c r="C48" s="3">
        <v>47510</v>
      </c>
      <c r="D48" s="1" t="s">
        <v>242</v>
      </c>
      <c r="E48" s="1" t="s">
        <v>448</v>
      </c>
    </row>
    <row r="49" spans="1:5">
      <c r="A49" s="1" t="s">
        <v>245</v>
      </c>
      <c r="B49" s="1" t="s">
        <v>246</v>
      </c>
      <c r="C49" s="3">
        <v>47537</v>
      </c>
      <c r="D49" s="1" t="s">
        <v>242</v>
      </c>
      <c r="E49" s="1" t="s">
        <v>448</v>
      </c>
    </row>
    <row r="50" spans="1:5">
      <c r="A50" s="1" t="s">
        <v>276</v>
      </c>
      <c r="B50" s="1" t="s">
        <v>277</v>
      </c>
      <c r="C50" s="3">
        <v>47587</v>
      </c>
      <c r="D50" s="1" t="s">
        <v>242</v>
      </c>
      <c r="E50" s="1" t="s">
        <v>448</v>
      </c>
    </row>
    <row r="51" spans="1:5">
      <c r="A51" s="1" t="s">
        <v>304</v>
      </c>
      <c r="B51" s="1" t="s">
        <v>305</v>
      </c>
      <c r="C51" s="3">
        <v>47603</v>
      </c>
      <c r="D51" s="1" t="s">
        <v>242</v>
      </c>
      <c r="E51" s="1" t="s">
        <v>448</v>
      </c>
    </row>
    <row r="52" spans="1:5">
      <c r="A52" s="1" t="s">
        <v>261</v>
      </c>
      <c r="B52" s="1" t="s">
        <v>262</v>
      </c>
      <c r="C52" s="3">
        <v>47614</v>
      </c>
      <c r="D52" s="1" t="s">
        <v>242</v>
      </c>
      <c r="E52" s="1" t="s">
        <v>448</v>
      </c>
    </row>
    <row r="53" spans="1:5">
      <c r="A53" s="1" t="s">
        <v>318</v>
      </c>
      <c r="B53" s="1" t="s">
        <v>319</v>
      </c>
      <c r="C53" s="3">
        <v>47632</v>
      </c>
      <c r="D53" s="1" t="s">
        <v>242</v>
      </c>
      <c r="E53" s="1" t="s">
        <v>448</v>
      </c>
    </row>
    <row r="54" spans="1:5">
      <c r="A54" s="1" t="s">
        <v>278</v>
      </c>
      <c r="B54" s="1" t="s">
        <v>279</v>
      </c>
      <c r="C54" s="3">
        <v>47686</v>
      </c>
      <c r="D54" s="1" t="s">
        <v>242</v>
      </c>
      <c r="E54" s="1" t="s">
        <v>447</v>
      </c>
    </row>
    <row r="55" spans="1:5">
      <c r="A55" s="1" t="s">
        <v>182</v>
      </c>
      <c r="B55" s="1" t="s">
        <v>183</v>
      </c>
      <c r="C55" s="3">
        <v>47780</v>
      </c>
      <c r="D55" s="1" t="s">
        <v>176</v>
      </c>
      <c r="E55" s="1" t="s">
        <v>447</v>
      </c>
    </row>
    <row r="56" spans="1:5">
      <c r="A56" s="1" t="s">
        <v>212</v>
      </c>
      <c r="B56" s="1" t="s">
        <v>213</v>
      </c>
      <c r="C56" s="3">
        <v>47790</v>
      </c>
      <c r="D56" s="1" t="s">
        <v>176</v>
      </c>
      <c r="E56" s="1" t="s">
        <v>447</v>
      </c>
    </row>
    <row r="57" spans="1:5">
      <c r="A57" s="1" t="s">
        <v>180</v>
      </c>
      <c r="B57" s="1" t="s">
        <v>181</v>
      </c>
      <c r="C57" s="3">
        <v>47815</v>
      </c>
      <c r="D57" s="1" t="s">
        <v>176</v>
      </c>
      <c r="E57" s="1" t="s">
        <v>447</v>
      </c>
    </row>
    <row r="58" spans="1:5">
      <c r="A58" s="1" t="s">
        <v>194</v>
      </c>
      <c r="B58" s="1" t="s">
        <v>195</v>
      </c>
      <c r="C58" s="3">
        <v>47822</v>
      </c>
      <c r="D58" s="1" t="s">
        <v>176</v>
      </c>
      <c r="E58" s="1" t="s">
        <v>447</v>
      </c>
    </row>
    <row r="59" spans="1:5">
      <c r="A59" s="1" t="s">
        <v>178</v>
      </c>
      <c r="B59" s="1" t="s">
        <v>179</v>
      </c>
      <c r="C59" s="3">
        <v>47876</v>
      </c>
      <c r="D59" s="1" t="s">
        <v>176</v>
      </c>
      <c r="E59" s="1" t="s">
        <v>447</v>
      </c>
    </row>
    <row r="60" spans="1:5">
      <c r="A60" s="1" t="s">
        <v>87</v>
      </c>
      <c r="B60" s="1" t="s">
        <v>297</v>
      </c>
      <c r="C60" s="3">
        <v>47896</v>
      </c>
      <c r="D60" s="1" t="s">
        <v>242</v>
      </c>
      <c r="E60" s="1" t="s">
        <v>448</v>
      </c>
    </row>
    <row r="61" spans="1:5">
      <c r="A61" s="1" t="s">
        <v>206</v>
      </c>
      <c r="B61" s="1" t="s">
        <v>207</v>
      </c>
      <c r="C61" s="3">
        <v>47986</v>
      </c>
      <c r="D61" s="1" t="s">
        <v>176</v>
      </c>
      <c r="E61" s="1" t="s">
        <v>447</v>
      </c>
    </row>
    <row r="62" spans="1:5">
      <c r="A62" s="1" t="s">
        <v>214</v>
      </c>
      <c r="B62" s="1" t="s">
        <v>215</v>
      </c>
      <c r="C62" s="3">
        <v>48047</v>
      </c>
      <c r="D62" s="1" t="s">
        <v>176</v>
      </c>
      <c r="E62" s="1" t="s">
        <v>447</v>
      </c>
    </row>
    <row r="63" spans="1:5">
      <c r="A63" s="1" t="s">
        <v>220</v>
      </c>
      <c r="B63" s="1" t="s">
        <v>221</v>
      </c>
      <c r="C63" s="3">
        <v>48053</v>
      </c>
      <c r="D63" s="1" t="s">
        <v>176</v>
      </c>
      <c r="E63" s="1" t="s">
        <v>447</v>
      </c>
    </row>
    <row r="64" spans="1:5">
      <c r="A64" s="1" t="s">
        <v>198</v>
      </c>
      <c r="B64" s="1" t="s">
        <v>199</v>
      </c>
      <c r="C64" s="3">
        <v>48101</v>
      </c>
      <c r="D64" s="1" t="s">
        <v>176</v>
      </c>
      <c r="E64" s="1" t="s">
        <v>447</v>
      </c>
    </row>
    <row r="65" spans="1:5">
      <c r="A65" s="1" t="s">
        <v>232</v>
      </c>
      <c r="B65" s="1" t="s">
        <v>233</v>
      </c>
      <c r="C65" s="3">
        <v>48102</v>
      </c>
      <c r="D65" s="1" t="s">
        <v>176</v>
      </c>
      <c r="E65" s="1" t="s">
        <v>447</v>
      </c>
    </row>
    <row r="66" spans="1:5">
      <c r="A66" s="1" t="s">
        <v>267</v>
      </c>
      <c r="B66" s="1" t="s">
        <v>268</v>
      </c>
      <c r="C66" s="3">
        <v>48131</v>
      </c>
      <c r="D66" s="1" t="s">
        <v>242</v>
      </c>
      <c r="E66" s="1" t="s">
        <v>447</v>
      </c>
    </row>
    <row r="67" spans="1:5">
      <c r="A67" s="1" t="s">
        <v>253</v>
      </c>
      <c r="B67" s="1" t="s">
        <v>254</v>
      </c>
      <c r="C67" s="3">
        <v>48165</v>
      </c>
      <c r="D67" s="1" t="s">
        <v>242</v>
      </c>
      <c r="E67" s="1" t="s">
        <v>448</v>
      </c>
    </row>
    <row r="68" spans="1:5">
      <c r="A68" s="1" t="s">
        <v>208</v>
      </c>
      <c r="B68" s="1" t="s">
        <v>209</v>
      </c>
      <c r="C68" s="3">
        <v>48364</v>
      </c>
      <c r="D68" s="1" t="s">
        <v>176</v>
      </c>
      <c r="E68" s="1" t="s">
        <v>447</v>
      </c>
    </row>
    <row r="69" spans="1:5">
      <c r="A69" s="1" t="s">
        <v>238</v>
      </c>
      <c r="B69" s="1" t="s">
        <v>239</v>
      </c>
      <c r="C69" s="3">
        <v>48503</v>
      </c>
      <c r="D69" s="1" t="s">
        <v>176</v>
      </c>
      <c r="E69" s="1" t="s">
        <v>447</v>
      </c>
    </row>
    <row r="70" spans="1:5">
      <c r="A70" s="1" t="s">
        <v>184</v>
      </c>
      <c r="B70" s="1" t="s">
        <v>185</v>
      </c>
      <c r="C70" s="3">
        <v>48697</v>
      </c>
      <c r="D70" s="1" t="s">
        <v>176</v>
      </c>
      <c r="E70" s="1" t="s">
        <v>447</v>
      </c>
    </row>
    <row r="71" spans="1:5">
      <c r="A71" s="1" t="s">
        <v>88</v>
      </c>
      <c r="B71" s="1" t="s">
        <v>217</v>
      </c>
      <c r="C71" s="3">
        <v>48911</v>
      </c>
      <c r="D71" s="1" t="s">
        <v>176</v>
      </c>
      <c r="E71" s="1" t="s">
        <v>447</v>
      </c>
    </row>
    <row r="72" spans="1:5">
      <c r="A72" s="1" t="s">
        <v>224</v>
      </c>
      <c r="B72" s="1" t="s">
        <v>225</v>
      </c>
      <c r="C72" s="3">
        <v>48740</v>
      </c>
      <c r="D72" s="1" t="s">
        <v>176</v>
      </c>
      <c r="E72" s="1" t="s">
        <v>447</v>
      </c>
    </row>
    <row r="73" spans="1:5">
      <c r="A73" s="1" t="s">
        <v>459</v>
      </c>
      <c r="B73" s="1" t="s">
        <v>460</v>
      </c>
      <c r="C73" s="3">
        <v>48741</v>
      </c>
      <c r="D73" s="1" t="s">
        <v>176</v>
      </c>
      <c r="E73" s="1" t="s">
        <v>447</v>
      </c>
    </row>
    <row r="74" spans="1:5">
      <c r="A74" s="1" t="s">
        <v>234</v>
      </c>
      <c r="B74" s="1" t="s">
        <v>235</v>
      </c>
      <c r="C74" s="3">
        <v>48852</v>
      </c>
      <c r="D74" s="1" t="s">
        <v>176</v>
      </c>
      <c r="E74" s="1" t="s">
        <v>447</v>
      </c>
    </row>
    <row r="75" spans="1:5">
      <c r="A75" s="1" t="s">
        <v>89</v>
      </c>
      <c r="B75" s="1" t="s">
        <v>189</v>
      </c>
      <c r="C75" s="3">
        <v>48915</v>
      </c>
      <c r="D75" s="1" t="s">
        <v>176</v>
      </c>
      <c r="E75" s="1" t="s">
        <v>447</v>
      </c>
    </row>
    <row r="76" spans="1:5">
      <c r="A76" s="1" t="s">
        <v>236</v>
      </c>
      <c r="B76" s="1" t="s">
        <v>237</v>
      </c>
      <c r="C76" s="3">
        <v>48961</v>
      </c>
      <c r="D76" s="1" t="s">
        <v>176</v>
      </c>
      <c r="E76" s="1" t="s">
        <v>447</v>
      </c>
    </row>
    <row r="77" spans="1:5">
      <c r="A77" s="1" t="s">
        <v>451</v>
      </c>
      <c r="B77" s="1" t="s">
        <v>452</v>
      </c>
      <c r="C77" s="3">
        <v>49153</v>
      </c>
      <c r="D77" s="1" t="s">
        <v>176</v>
      </c>
      <c r="E77" s="1" t="s">
        <v>447</v>
      </c>
    </row>
    <row r="78" spans="1:5">
      <c r="A78" s="1" t="s">
        <v>200</v>
      </c>
      <c r="B78" s="1" t="s">
        <v>201</v>
      </c>
      <c r="C78" s="3">
        <v>49294</v>
      </c>
      <c r="D78" s="1" t="s">
        <v>176</v>
      </c>
      <c r="E78" s="1" t="s">
        <v>447</v>
      </c>
    </row>
    <row r="79" spans="1:5">
      <c r="A79" s="1" t="s">
        <v>186</v>
      </c>
      <c r="B79" s="1" t="s">
        <v>187</v>
      </c>
      <c r="C79" s="3">
        <v>49309</v>
      </c>
      <c r="D79" s="1" t="s">
        <v>176</v>
      </c>
      <c r="E79" s="1" t="s">
        <v>447</v>
      </c>
    </row>
    <row r="80" spans="1:5">
      <c r="A80" s="1" t="s">
        <v>192</v>
      </c>
      <c r="B80" s="1" t="s">
        <v>193</v>
      </c>
      <c r="C80" s="3">
        <v>49399</v>
      </c>
      <c r="D80" s="1" t="s">
        <v>176</v>
      </c>
      <c r="E80" s="1" t="s">
        <v>447</v>
      </c>
    </row>
    <row r="81" spans="1:5">
      <c r="A81" s="1" t="s">
        <v>222</v>
      </c>
      <c r="B81" s="1" t="s">
        <v>223</v>
      </c>
      <c r="C81" s="3">
        <v>49633</v>
      </c>
      <c r="D81" s="1" t="s">
        <v>176</v>
      </c>
      <c r="E81" s="1" t="s">
        <v>447</v>
      </c>
    </row>
    <row r="82" spans="1:5">
      <c r="A82" s="1" t="s">
        <v>226</v>
      </c>
      <c r="B82" s="1" t="s">
        <v>227</v>
      </c>
      <c r="C82" s="3">
        <v>49653</v>
      </c>
      <c r="D82" s="1" t="s">
        <v>176</v>
      </c>
      <c r="E82" s="1" t="s">
        <v>447</v>
      </c>
    </row>
    <row r="83" spans="1:5">
      <c r="A83" s="1" t="s">
        <v>218</v>
      </c>
      <c r="B83" s="1" t="s">
        <v>219</v>
      </c>
      <c r="C83" s="3">
        <v>49694</v>
      </c>
      <c r="D83" s="1" t="s">
        <v>176</v>
      </c>
      <c r="E83" s="1" t="s">
        <v>447</v>
      </c>
    </row>
    <row r="84" spans="1:5">
      <c r="A84" s="1" t="s">
        <v>196</v>
      </c>
      <c r="B84" s="1" t="s">
        <v>197</v>
      </c>
      <c r="C84" s="3">
        <v>49842</v>
      </c>
      <c r="D84" s="1" t="s">
        <v>176</v>
      </c>
      <c r="E84" s="1" t="s">
        <v>447</v>
      </c>
    </row>
    <row r="85" spans="1:5">
      <c r="A85" s="1" t="s">
        <v>453</v>
      </c>
      <c r="B85" s="1" t="s">
        <v>454</v>
      </c>
      <c r="C85" s="3">
        <v>49856</v>
      </c>
      <c r="D85" s="1" t="s">
        <v>242</v>
      </c>
      <c r="E85" s="1" t="s">
        <v>448</v>
      </c>
    </row>
    <row r="86" spans="1:5">
      <c r="A86" s="1" t="s">
        <v>204</v>
      </c>
      <c r="B86" s="1" t="s">
        <v>205</v>
      </c>
      <c r="C86" s="3">
        <v>50055</v>
      </c>
      <c r="D86" s="1" t="s">
        <v>176</v>
      </c>
      <c r="E86" s="1" t="s">
        <v>447</v>
      </c>
    </row>
    <row r="87" spans="1:5">
      <c r="A87" s="1" t="s">
        <v>210</v>
      </c>
      <c r="B87" s="1" t="s">
        <v>211</v>
      </c>
      <c r="C87" s="3">
        <v>50313</v>
      </c>
      <c r="D87" s="1" t="s">
        <v>176</v>
      </c>
      <c r="E87" s="1" t="s">
        <v>447</v>
      </c>
    </row>
    <row r="88" spans="1:5">
      <c r="A88" s="1" t="s">
        <v>202</v>
      </c>
      <c r="B88" s="1" t="s">
        <v>203</v>
      </c>
      <c r="C88" s="3">
        <v>50358</v>
      </c>
      <c r="D88" s="1" t="s">
        <v>176</v>
      </c>
      <c r="E88" s="1" t="s">
        <v>447</v>
      </c>
    </row>
    <row r="89" spans="1:5">
      <c r="A89" s="1" t="s">
        <v>228</v>
      </c>
      <c r="B89" s="1" t="s">
        <v>229</v>
      </c>
      <c r="C89" s="3">
        <v>50503</v>
      </c>
      <c r="D89" s="1" t="s">
        <v>176</v>
      </c>
      <c r="E89" s="1" t="s">
        <v>447</v>
      </c>
    </row>
    <row r="90" spans="1:5">
      <c r="A90" s="1" t="s">
        <v>463</v>
      </c>
      <c r="B90" s="1" t="s">
        <v>464</v>
      </c>
      <c r="C90" s="3">
        <v>46971</v>
      </c>
      <c r="D90" s="1" t="s">
        <v>242</v>
      </c>
      <c r="E90" s="1" t="s">
        <v>448</v>
      </c>
    </row>
    <row r="91" spans="1:5">
      <c r="A91" s="1" t="inlineStr">
        <is>
          <t>PNXCD</t>
        </is>
      </c>
      <c r="B91" s="1" t="inlineStr">
        <is>
          <t>PAE 2032</t>
        </is>
      </c>
      <c r="C91" s="3">
        <v>48334</v>
      </c>
      <c r="D91" s="1" t="inlineStr">
        <is>
          <t>ny</t>
        </is>
      </c>
      <c r="E91" s="1" t="inlineStr">
        <is>
          <t>CCL</t>
        </is>
      </c>
    </row>
    <row r="92" spans="1:5">
      <c r="A92" s="1" t="inlineStr">
        <is>
          <t>TTC9D</t>
        </is>
      </c>
      <c r="B92" s="1" t="inlineStr">
        <is>
          <t>Tecpetrol 2029</t>
        </is>
      </c>
      <c r="C92" s="3">
        <v>47415</v>
      </c>
      <c r="D92" s="1" t="inlineStr">
        <is>
          <t>local</t>
        </is>
      </c>
      <c r="E92" s="1" t="inlineStr">
        <is>
          <t>MEP</t>
        </is>
      </c>
    </row>
    <row r="93" spans="1:5">
      <c r="A93" s="1" t="inlineStr">
        <is>
          <t>CP40D</t>
        </is>
      </c>
      <c r="B93" s="1" t="inlineStr">
        <is>
          <t>CGC 2028</t>
        </is>
      </c>
      <c r="C93" s="3">
        <v>46821</v>
      </c>
      <c r="D93" s="1" t="inlineStr">
        <is>
          <t>local</t>
        </is>
      </c>
      <c r="E93" s="1" t="inlineStr">
        <is>
          <t>MEP</t>
        </is>
      </c>
    </row>
    <row r="94" spans="1:5">
      <c r="A94" s="1" t="inlineStr">
        <is>
          <t>PLC3D</t>
        </is>
      </c>
      <c r="B94" s="1" t="inlineStr">
        <is>
          <t>Pluspetrol 2028</t>
        </is>
      </c>
      <c r="C94" s="3">
        <v>46873</v>
      </c>
      <c r="D94" s="1" t="inlineStr">
        <is>
          <t>local</t>
        </is>
      </c>
      <c r="E94" s="1" t="inlineStr">
        <is>
          <t>MEP</t>
        </is>
      </c>
    </row>
    <row r="95" spans="1:5">
      <c r="A95" s="1" t="inlineStr">
        <is>
          <t>HJCKD</t>
        </is>
      </c>
      <c r="B95" s="1" t="inlineStr">
        <is>
          <t>John Deere 2029</t>
        </is>
      </c>
      <c r="C95" s="3">
        <v>47134</v>
      </c>
      <c r="D95" s="1" t="inlineStr">
        <is>
          <t>local</t>
        </is>
      </c>
      <c r="E95" s="1" t="inlineStr">
        <is>
          <t>MEP</t>
        </is>
      </c>
    </row>
    <row r="96" spans="1:5">
      <c r="A96" s="1" t="inlineStr">
        <is>
          <t>YM41D</t>
        </is>
      </c>
      <c r="B96" s="1" t="inlineStr">
        <is>
          <t>YPF Ene-2027</t>
        </is>
      </c>
      <c r="C96" s="3">
        <v>46395</v>
      </c>
      <c r="D96" s="1" t="inlineStr">
        <is>
          <t>local</t>
        </is>
      </c>
      <c r="E96" s="1" t="inlineStr">
        <is>
          <t>MEP</t>
        </is>
      </c>
    </row>
    <row r="97" spans="1:5">
      <c r="A97" s="1" t="inlineStr">
        <is>
          <t>EMC1D</t>
        </is>
      </c>
      <c r="B97" s="1" t="inlineStr">
        <is>
          <t>Compañía Mega 2027</t>
        </is>
      </c>
      <c r="C97" s="3">
        <v>46572</v>
      </c>
      <c r="D97" s="1" t="inlineStr">
        <is>
          <t>local</t>
        </is>
      </c>
      <c r="E97" s="1" t="inlineStr">
        <is>
          <t>MEP</t>
        </is>
      </c>
    </row>
    <row r="98" spans="1:5">
      <c r="A98" s="1" t="inlineStr">
        <is>
          <t>MR45D</t>
        </is>
      </c>
      <c r="B98" s="1" t="inlineStr">
        <is>
          <t>GEMSA - CTR 2036</t>
        </is>
      </c>
      <c r="C98" s="3">
        <v>49856</v>
      </c>
      <c r="D98" s="1" t="inlineStr">
        <is>
          <t>ny</t>
        </is>
      </c>
      <c r="E98" s="1" t="inlineStr">
        <is>
          <t>CCL</t>
        </is>
      </c>
    </row>
    <row r="99" spans="1:5">
      <c r="A99" s="1" t="inlineStr">
        <is>
          <t>VSCYD</t>
        </is>
      </c>
      <c r="B99" s="1" t="inlineStr">
        <is>
          <t>Vista Energy 2028</t>
        </is>
      </c>
      <c r="C99" s="3">
        <v>46768</v>
      </c>
      <c r="D99" s="1" t="inlineStr">
        <is>
          <t>local</t>
        </is>
      </c>
      <c r="E99" s="1" t="inlineStr">
        <is>
          <t>MEP</t>
        </is>
      </c>
    </row>
    <row r="100" spans="1:5">
      <c r="A100" s="1" t="inlineStr">
        <is>
          <t>VSCPD</t>
        </is>
      </c>
      <c r="B100" s="1" t="inlineStr">
        <is>
          <t>Vista Energy May-2029</t>
        </is>
      </c>
      <c r="C100" s="3">
        <v>47241</v>
      </c>
      <c r="D100" s="1" t="inlineStr">
        <is>
          <t>local</t>
        </is>
      </c>
      <c r="E100" s="1" t="inlineStr">
        <is>
          <t>CCL</t>
        </is>
      </c>
    </row>
    <row r="101" spans="1:5">
      <c r="A101" s="1" t="inlineStr">
        <is>
          <t>MTC2D</t>
        </is>
      </c>
      <c r="B101" s="1" t="inlineStr">
        <is>
          <t>Mastellone 2028</t>
        </is>
      </c>
      <c r="C101" s="3">
        <v>46926</v>
      </c>
      <c r="D101" s="1" t="inlineStr">
        <is>
          <t>local</t>
        </is>
      </c>
      <c r="E101" s="1" t="inlineStr">
        <is>
          <t>MEP</t>
        </is>
      </c>
    </row>
    <row r="102" spans="1:5">
      <c r="A102" s="1" t="inlineStr">
        <is>
          <t>LOC6D</t>
        </is>
      </c>
      <c r="B102" s="1" t="inlineStr">
        <is>
          <t>Loma Negra 2029</t>
        </is>
      </c>
      <c r="C102" s="3">
        <v>47141</v>
      </c>
      <c r="D102" s="1" t="inlineStr">
        <is>
          <t>local</t>
        </is>
      </c>
      <c r="E102" s="1" t="inlineStr">
        <is>
          <t>MEP</t>
        </is>
      </c>
    </row>
    <row r="103" spans="1:5">
      <c r="A103" s="1" t="inlineStr">
        <is>
          <t>CIC8D</t>
        </is>
      </c>
      <c r="B103" s="1" t="inlineStr">
        <is>
          <t>CNH Industrial 2028</t>
        </is>
      </c>
      <c r="C103" s="3">
        <v>47069</v>
      </c>
      <c r="D103" s="1" t="inlineStr">
        <is>
          <t>local</t>
        </is>
      </c>
      <c r="E103" s="1" t="inlineStr">
        <is>
          <t>MEP</t>
        </is>
      </c>
    </row>
    <row r="104" spans="1:5">
      <c r="A104" s="1" t="inlineStr">
        <is>
          <t>TTCBD</t>
        </is>
      </c>
      <c r="B104" s="1" t="inlineStr">
        <is>
          <t>Tecpetrol 2027</t>
        </is>
      </c>
      <c r="C104" s="3">
        <v>46676</v>
      </c>
      <c r="D104" s="1" t="inlineStr">
        <is>
          <t>local</t>
        </is>
      </c>
      <c r="E104" s="1" t="inlineStr">
        <is>
          <t>MEP</t>
        </is>
      </c>
    </row>
    <row r="105" spans="1:5">
      <c r="A105" s="1" t="inlineStr">
        <is>
          <t>TTC8D</t>
        </is>
      </c>
      <c r="B105" s="1" t="inlineStr">
        <is>
          <t>Tecpetrol C8 2027</t>
        </is>
      </c>
      <c r="C105" s="3">
        <v>46684</v>
      </c>
      <c r="D105" s="1" t="inlineStr">
        <is>
          <t>local</t>
        </is>
      </c>
      <c r="E105" s="1" t="inlineStr">
        <is>
          <t>MEP</t>
        </is>
      </c>
    </row>
    <row r="106" spans="1:5">
      <c r="A106" s="1" t="inlineStr">
        <is>
          <t>TTCAD</t>
        </is>
      </c>
      <c r="B106" s="1" t="inlineStr">
        <is>
          <t>Tecpetrol 2033</t>
        </is>
      </c>
      <c r="C106" s="3">
        <v>48601</v>
      </c>
      <c r="D106" s="1" t="inlineStr">
        <is>
          <t>ny</t>
        </is>
      </c>
      <c r="E106" s="1" t="inlineStr">
        <is>
          <t>CCL</t>
        </is>
      </c>
    </row>
    <row r="107" spans="1:5">
      <c r="A107" s="1" t="inlineStr">
        <is>
          <t>CS53D</t>
        </is>
      </c>
      <c r="B107" s="1" t="inlineStr">
        <is>
          <t>Cresud 2030</t>
        </is>
      </c>
      <c r="C107" s="3">
        <v>47603</v>
      </c>
      <c r="D107" s="1" t="inlineStr">
        <is>
          <t>local</t>
        </is>
      </c>
      <c r="E107" s="1" t="inlineStr">
        <is>
          <t>MEP</t>
        </is>
      </c>
    </row>
    <row r="108" spans="1:5">
      <c r="A108" s="1" t="inlineStr">
        <is>
          <t>TLCQD</t>
        </is>
      </c>
      <c r="B108" s="1" t="inlineStr">
        <is>
          <t>Telecom 2027</t>
        </is>
      </c>
      <c r="C108" s="3">
        <v>46570</v>
      </c>
      <c r="D108" s="1" t="inlineStr">
        <is>
          <t>local</t>
        </is>
      </c>
      <c r="E108" s="1" t="inlineStr">
        <is>
          <t>MEP</t>
        </is>
      </c>
    </row>
    <row r="109" spans="1:5">
      <c r="A109" s="1" t="inlineStr">
        <is>
          <t>GN47D</t>
        </is>
      </c>
      <c r="B109" s="1" t="inlineStr">
        <is>
          <t>Genneia 2028</t>
        </is>
      </c>
      <c r="C109" s="3">
        <v>47043</v>
      </c>
      <c r="D109" s="1" t="inlineStr">
        <is>
          <t>local</t>
        </is>
      </c>
      <c r="E109" s="1" t="inlineStr">
        <is>
          <t>MEP</t>
        </is>
      </c>
    </row>
    <row r="110" spans="1:5">
      <c r="A110" s="1" t="inlineStr">
        <is>
          <t>MGCUD</t>
        </is>
      </c>
      <c r="B110" s="1" t="inlineStr">
        <is>
          <t>Pampa Energía 2030</t>
        </is>
      </c>
      <c r="C110" s="3">
        <v>47716</v>
      </c>
      <c r="D110" s="1" t="inlineStr">
        <is>
          <t>local</t>
        </is>
      </c>
      <c r="E110" s="1" t="inlineStr">
        <is>
          <t>MEP</t>
        </is>
      </c>
    </row>
    <row r="111" spans="1:5">
      <c r="A111" s="1" t="inlineStr">
        <is>
          <t>PVC5D</t>
        </is>
      </c>
      <c r="B111" s="1" t="inlineStr">
        <is>
          <t>Banco Provincia 2027</t>
        </is>
      </c>
      <c r="C111" s="3">
        <v>46546</v>
      </c>
      <c r="D111" s="1" t="inlineStr">
        <is>
          <t>local</t>
        </is>
      </c>
      <c r="E111" s="1" t="inlineStr">
        <is>
          <t>MEP</t>
        </is>
      </c>
    </row>
    <row r="112" spans="1:5">
      <c r="A112" s="1" t="inlineStr">
        <is>
          <t>MSSFD</t>
        </is>
      </c>
      <c r="B112" s="1" t="inlineStr">
        <is>
          <t>MSU S14 2027</t>
        </is>
      </c>
      <c r="C112" s="3">
        <v>46591</v>
      </c>
      <c r="D112" s="1" t="inlineStr">
        <is>
          <t>local</t>
        </is>
      </c>
      <c r="E112" s="1" t="inlineStr">
        <is>
          <t>MEP</t>
        </is>
      </c>
    </row>
    <row r="113" spans="1:5">
      <c r="A113" s="1" t="inlineStr">
        <is>
          <t>IRCOD</t>
        </is>
      </c>
      <c r="B113" s="1" t="inlineStr">
        <is>
          <t>IRSA 2029</t>
        </is>
      </c>
      <c r="C113" s="3">
        <v>47414</v>
      </c>
      <c r="D113" s="1" t="inlineStr">
        <is>
          <t>local</t>
        </is>
      </c>
      <c r="E113" s="1" t="inlineStr">
        <is>
          <t>MEP</t>
        </is>
      </c>
    </row>
    <row r="114" spans="1:5">
      <c r="A114" s="1" t="inlineStr">
        <is>
          <t>PN37D</t>
        </is>
      </c>
      <c r="B114" s="1" t="inlineStr">
        <is>
          <t>PAE 2028</t>
        </is>
      </c>
      <c r="C114" s="3">
        <v>47070</v>
      </c>
      <c r="D114" s="1" t="inlineStr">
        <is>
          <t>local</t>
        </is>
      </c>
      <c r="E114" s="1" t="inlineStr">
        <is>
          <t>MEP</t>
        </is>
      </c>
    </row>
    <row r="115" spans="1:5">
      <c r="A115" s="1" t="inlineStr">
        <is>
          <t>CP41D</t>
        </is>
      </c>
      <c r="B115" s="1" t="inlineStr">
        <is>
          <t>CGC 2029</t>
        </is>
      </c>
      <c r="C115" s="3">
        <v>47368</v>
      </c>
      <c r="D115" s="1" t="inlineStr">
        <is>
          <t>local</t>
        </is>
      </c>
      <c r="E115" s="1" t="inlineStr">
        <is>
          <t>MEP</t>
        </is>
      </c>
    </row>
    <row r="116" spans="1:5">
      <c r="A116" s="1" t="inlineStr">
        <is>
          <t>VSCUD</t>
        </is>
      </c>
      <c r="B116" s="1" t="inlineStr">
        <is>
          <t>Vista Energy 2030</t>
        </is>
      </c>
      <c r="C116" s="3">
        <v>47549</v>
      </c>
      <c r="D116" s="1" t="inlineStr">
        <is>
          <t>local</t>
        </is>
      </c>
      <c r="E116" s="1" t="inlineStr">
        <is>
          <t>CCL</t>
        </is>
      </c>
    </row>
    <row r="117" spans="1:5">
      <c r="A117" s="1" t="inlineStr">
        <is>
          <t>BF49D</t>
        </is>
      </c>
      <c r="B117" s="1" t="inlineStr">
        <is>
          <t>BBVA Argentina 2027</t>
        </is>
      </c>
      <c r="C117" s="3">
        <v>46592</v>
      </c>
      <c r="D117" s="1" t="inlineStr">
        <is>
          <t>local</t>
        </is>
      </c>
      <c r="E117" s="1" t="inlineStr">
        <is>
          <t>MEP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F1937"/>
  <sheetViews>
    <sheetView workbookViewId="0"/>
  </sheetViews>
  <sheetFormatPr baseColWidth="10" defaultRowHeight="15"/>
  <cols>
    <col min="1" max="1" width="10"/>
    <col min="2" max="2" width="14"/>
    <col min="3" max="6" width="14"/>
  </cols>
  <sheetData>
    <row r="1" spans="1:6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15</v>
      </c>
    </row>
    <row r="2" spans="1:6">
      <c r="A2" s="1" t="s">
        <v>110</v>
      </c>
      <c r="B2" s="3">
        <v>44440</v>
      </c>
      <c r="C2">
        <v>100.0</v>
      </c>
      <c r="D2">
        <v>0.423611</v>
      </c>
      <c r="E2">
        <v>0.0</v>
      </c>
      <c r="F2">
        <v>0.423611</v>
      </c>
    </row>
    <row r="3" spans="1:6">
      <c r="A3" s="1" t="s">
        <v>110</v>
      </c>
      <c r="B3" s="3">
        <v>44622</v>
      </c>
      <c r="C3">
        <v>100.0</v>
      </c>
      <c r="D3">
        <v>1.95</v>
      </c>
      <c r="E3">
        <v>0.0</v>
      </c>
      <c r="F3">
        <v>1.95</v>
      </c>
    </row>
    <row r="4" spans="1:6">
      <c r="A4" s="1" t="s">
        <v>110</v>
      </c>
      <c r="B4" s="3">
        <v>44805</v>
      </c>
      <c r="C4">
        <v>100.0</v>
      </c>
      <c r="D4">
        <v>1.95</v>
      </c>
      <c r="E4">
        <v>0.0</v>
      </c>
      <c r="F4">
        <v>1.95</v>
      </c>
    </row>
    <row r="5" spans="1:6">
      <c r="A5" s="1" t="s">
        <v>110</v>
      </c>
      <c r="B5" s="3">
        <v>44986</v>
      </c>
      <c r="C5">
        <v>100.0</v>
      </c>
      <c r="D5">
        <v>2.625</v>
      </c>
      <c r="E5">
        <v>0.0</v>
      </c>
      <c r="F5">
        <v>2.625</v>
      </c>
    </row>
    <row r="6" spans="1:6">
      <c r="A6" s="1" t="s">
        <v>110</v>
      </c>
      <c r="B6" s="3">
        <v>45170</v>
      </c>
      <c r="C6">
        <v>100.0</v>
      </c>
      <c r="D6">
        <v>2.625</v>
      </c>
      <c r="E6">
        <v>0.0</v>
      </c>
      <c r="F6">
        <v>2.625</v>
      </c>
    </row>
    <row r="7" spans="1:6">
      <c r="A7" s="1" t="s">
        <v>110</v>
      </c>
      <c r="B7" s="3">
        <v>45352</v>
      </c>
      <c r="C7">
        <v>98.17</v>
      </c>
      <c r="D7">
        <v>3.1875</v>
      </c>
      <c r="E7">
        <v>1.83</v>
      </c>
      <c r="F7">
        <v>5.0175</v>
      </c>
    </row>
    <row r="8" spans="1:6">
      <c r="A8" s="1" t="s">
        <v>110</v>
      </c>
      <c r="B8" s="3">
        <v>45537</v>
      </c>
      <c r="C8">
        <v>96.34</v>
      </c>
      <c r="D8">
        <v>3.129169</v>
      </c>
      <c r="E8">
        <v>1.83</v>
      </c>
      <c r="F8">
        <v>4.959169</v>
      </c>
    </row>
    <row r="9" spans="1:6">
      <c r="A9" s="1" t="s">
        <v>110</v>
      </c>
      <c r="B9" s="3">
        <v>45721</v>
      </c>
      <c r="C9">
        <v>94.09</v>
      </c>
      <c r="D9">
        <v>3.191263</v>
      </c>
      <c r="E9">
        <v>2.25</v>
      </c>
      <c r="F9">
        <v>5.441263</v>
      </c>
    </row>
    <row r="10" spans="1:6">
      <c r="A10" s="1" t="s">
        <v>110</v>
      </c>
      <c r="B10" s="3">
        <v>45901</v>
      </c>
      <c r="C10">
        <v>91.84</v>
      </c>
      <c r="D10">
        <v>3.116731</v>
      </c>
      <c r="E10">
        <v>2.25</v>
      </c>
      <c r="F10">
        <v>5.366731</v>
      </c>
    </row>
    <row r="11" spans="1:6">
      <c r="A11" s="1" t="s">
        <v>110</v>
      </c>
      <c r="B11" s="3">
        <v>46083</v>
      </c>
      <c r="C11">
        <v>88.94</v>
      </c>
      <c r="D11">
        <v>3.0422</v>
      </c>
      <c r="E11">
        <v>2.9</v>
      </c>
      <c r="F11">
        <v>5.9422</v>
      </c>
    </row>
    <row r="12" spans="1:6">
      <c r="A12" s="1" t="s">
        <v>110</v>
      </c>
      <c r="B12" s="3">
        <v>46266</v>
      </c>
      <c r="C12">
        <v>86.04</v>
      </c>
      <c r="D12">
        <v>2.946137</v>
      </c>
      <c r="E12">
        <v>2.9</v>
      </c>
      <c r="F12">
        <v>5.846137</v>
      </c>
    </row>
    <row r="13" spans="1:6">
      <c r="A13" s="1" t="s">
        <v>110</v>
      </c>
      <c r="B13" s="3">
        <v>46447</v>
      </c>
      <c r="C13">
        <v>82.76</v>
      </c>
      <c r="D13">
        <v>2.850075</v>
      </c>
      <c r="E13">
        <v>3.28</v>
      </c>
      <c r="F13">
        <v>6.130075</v>
      </c>
    </row>
    <row r="14" spans="1:6">
      <c r="A14" s="1" t="s">
        <v>110</v>
      </c>
      <c r="B14" s="3">
        <v>46631</v>
      </c>
      <c r="C14">
        <v>79.48</v>
      </c>
      <c r="D14">
        <v>2.741425</v>
      </c>
      <c r="E14">
        <v>3.28</v>
      </c>
      <c r="F14">
        <v>6.021425</v>
      </c>
    </row>
    <row r="15" spans="1:6">
      <c r="A15" s="1" t="s">
        <v>110</v>
      </c>
      <c r="B15" s="3">
        <v>46813</v>
      </c>
      <c r="C15">
        <v>76.01</v>
      </c>
      <c r="D15">
        <v>2.632775</v>
      </c>
      <c r="E15">
        <v>3.47</v>
      </c>
      <c r="F15">
        <v>6.102775</v>
      </c>
    </row>
    <row r="16" spans="1:6">
      <c r="A16" s="1" t="s">
        <v>110</v>
      </c>
      <c r="B16" s="3">
        <v>46997</v>
      </c>
      <c r="C16">
        <v>72.54</v>
      </c>
      <c r="D16">
        <v>2.517831</v>
      </c>
      <c r="E16">
        <v>3.47</v>
      </c>
      <c r="F16">
        <v>5.987831</v>
      </c>
    </row>
    <row r="17" spans="1:6">
      <c r="A17" s="1" t="s">
        <v>110</v>
      </c>
      <c r="B17" s="3">
        <v>47178</v>
      </c>
      <c r="C17">
        <v>68.75</v>
      </c>
      <c r="D17">
        <v>2.402887</v>
      </c>
      <c r="E17">
        <v>3.79</v>
      </c>
      <c r="F17">
        <v>6.192887</v>
      </c>
    </row>
    <row r="18" spans="1:6">
      <c r="A18" s="1" t="s">
        <v>110</v>
      </c>
      <c r="B18" s="3">
        <v>47364</v>
      </c>
      <c r="C18">
        <v>64.96</v>
      </c>
      <c r="D18">
        <v>2.277344</v>
      </c>
      <c r="E18">
        <v>3.79</v>
      </c>
      <c r="F18">
        <v>6.067344</v>
      </c>
    </row>
    <row r="19" spans="1:6">
      <c r="A19" s="1" t="s">
        <v>110</v>
      </c>
      <c r="B19" s="3">
        <v>47543</v>
      </c>
      <c r="C19">
        <v>61.88</v>
      </c>
      <c r="D19">
        <v>2.1518</v>
      </c>
      <c r="E19">
        <v>3.08</v>
      </c>
      <c r="F19">
        <v>5.2318</v>
      </c>
    </row>
    <row r="20" spans="1:6">
      <c r="A20" s="1" t="s">
        <v>110</v>
      </c>
      <c r="B20" s="3">
        <v>47728</v>
      </c>
      <c r="C20">
        <v>58.8</v>
      </c>
      <c r="D20">
        <v>2.049775</v>
      </c>
      <c r="E20">
        <v>3.08</v>
      </c>
      <c r="F20">
        <v>5.129775</v>
      </c>
    </row>
    <row r="21" spans="1:6">
      <c r="A21" s="1" t="s">
        <v>110</v>
      </c>
      <c r="B21" s="3">
        <v>47910</v>
      </c>
      <c r="C21">
        <v>55.21</v>
      </c>
      <c r="D21">
        <v>1.94775</v>
      </c>
      <c r="E21">
        <v>3.59</v>
      </c>
      <c r="F21">
        <v>5.53775</v>
      </c>
    </row>
    <row r="22" spans="1:6">
      <c r="A22" s="1" t="s">
        <v>110</v>
      </c>
      <c r="B22" s="3">
        <v>48092</v>
      </c>
      <c r="C22">
        <v>51.62</v>
      </c>
      <c r="D22">
        <v>1.828831</v>
      </c>
      <c r="E22">
        <v>3.59</v>
      </c>
      <c r="F22">
        <v>5.418831</v>
      </c>
    </row>
    <row r="23" spans="1:6">
      <c r="A23" s="1" t="s">
        <v>110</v>
      </c>
      <c r="B23" s="3">
        <v>48274</v>
      </c>
      <c r="C23">
        <v>47.85</v>
      </c>
      <c r="D23">
        <v>1.709912</v>
      </c>
      <c r="E23">
        <v>3.77</v>
      </c>
      <c r="F23">
        <v>5.479913</v>
      </c>
    </row>
    <row r="24" spans="1:6">
      <c r="A24" s="1" t="s">
        <v>110</v>
      </c>
      <c r="B24" s="3">
        <v>48458</v>
      </c>
      <c r="C24">
        <v>44.08</v>
      </c>
      <c r="D24">
        <v>1.585031</v>
      </c>
      <c r="E24">
        <v>3.77</v>
      </c>
      <c r="F24">
        <v>5.355031</v>
      </c>
    </row>
    <row r="25" spans="1:6">
      <c r="A25" s="1" t="s">
        <v>110</v>
      </c>
      <c r="B25" s="3">
        <v>48639</v>
      </c>
      <c r="C25">
        <v>40.14</v>
      </c>
      <c r="D25">
        <v>1.46015</v>
      </c>
      <c r="E25">
        <v>3.94</v>
      </c>
      <c r="F25">
        <v>5.40015</v>
      </c>
    </row>
    <row r="26" spans="1:6">
      <c r="A26" s="1" t="s">
        <v>110</v>
      </c>
      <c r="B26" s="3">
        <v>48823</v>
      </c>
      <c r="C26">
        <v>36.2</v>
      </c>
      <c r="D26">
        <v>1.329638</v>
      </c>
      <c r="E26">
        <v>3.94</v>
      </c>
      <c r="F26">
        <v>5.269637</v>
      </c>
    </row>
    <row r="27" spans="1:6">
      <c r="A27" s="1" t="s">
        <v>110</v>
      </c>
      <c r="B27" s="3">
        <v>49004</v>
      </c>
      <c r="C27">
        <v>32.0</v>
      </c>
      <c r="D27">
        <v>1.199125</v>
      </c>
      <c r="E27">
        <v>4.2</v>
      </c>
      <c r="F27">
        <v>5.399125</v>
      </c>
    </row>
    <row r="28" spans="1:6">
      <c r="A28" s="1" t="s">
        <v>110</v>
      </c>
      <c r="B28" s="3">
        <v>49188</v>
      </c>
      <c r="C28">
        <v>27.8</v>
      </c>
      <c r="D28">
        <v>1.06</v>
      </c>
      <c r="E28">
        <v>4.2</v>
      </c>
      <c r="F28">
        <v>5.26</v>
      </c>
    </row>
    <row r="29" spans="1:6">
      <c r="A29" s="1" t="s">
        <v>110</v>
      </c>
      <c r="B29" s="3">
        <v>49369</v>
      </c>
      <c r="C29">
        <v>23.4</v>
      </c>
      <c r="D29">
        <v>0.920875</v>
      </c>
      <c r="E29">
        <v>4.4</v>
      </c>
      <c r="F29">
        <v>5.320875</v>
      </c>
    </row>
    <row r="30" spans="1:6">
      <c r="A30" s="1" t="s">
        <v>110</v>
      </c>
      <c r="B30" s="3">
        <v>49555</v>
      </c>
      <c r="C30">
        <v>19.0</v>
      </c>
      <c r="D30">
        <v>0.775125</v>
      </c>
      <c r="E30">
        <v>4.4</v>
      </c>
      <c r="F30">
        <v>5.175125</v>
      </c>
    </row>
    <row r="31" spans="1:6">
      <c r="A31" s="1" t="s">
        <v>110</v>
      </c>
      <c r="B31" s="3">
        <v>49737</v>
      </c>
      <c r="C31">
        <v>14.33</v>
      </c>
      <c r="D31">
        <v>0.629375</v>
      </c>
      <c r="E31">
        <v>4.67</v>
      </c>
      <c r="F31">
        <v>5.299375</v>
      </c>
    </row>
    <row r="32" spans="1:6">
      <c r="A32" s="1" t="s">
        <v>110</v>
      </c>
      <c r="B32" s="3">
        <v>49919</v>
      </c>
      <c r="C32">
        <v>9.66</v>
      </c>
      <c r="D32">
        <v>0.474681</v>
      </c>
      <c r="E32">
        <v>4.67</v>
      </c>
      <c r="F32">
        <v>5.144681</v>
      </c>
    </row>
    <row r="33" spans="1:6">
      <c r="A33" s="1" t="s">
        <v>110</v>
      </c>
      <c r="B33" s="3">
        <v>50101</v>
      </c>
      <c r="C33">
        <v>4.83</v>
      </c>
      <c r="D33">
        <v>0.319987</v>
      </c>
      <c r="E33">
        <v>4.83</v>
      </c>
      <c r="F33">
        <v>5.149987</v>
      </c>
    </row>
    <row r="34" spans="1:6">
      <c r="A34" s="1" t="s">
        <v>110</v>
      </c>
      <c r="B34" s="3">
        <v>50284</v>
      </c>
      <c r="C34">
        <v>0.0</v>
      </c>
      <c r="D34">
        <v>0.159994</v>
      </c>
      <c r="E34">
        <v>4.83</v>
      </c>
      <c r="F34">
        <v>4.989994</v>
      </c>
    </row>
    <row r="35" spans="1:6">
      <c r="A35" s="1" t="s">
        <v>178</v>
      </c>
      <c r="B35" s="3">
        <v>46231</v>
      </c>
      <c r="C35">
        <v>100.0</v>
      </c>
      <c r="D35">
        <v>4.0</v>
      </c>
      <c r="E35">
        <v>0.0</v>
      </c>
      <c r="F35">
        <v>4.0</v>
      </c>
    </row>
    <row r="36" spans="1:6">
      <c r="A36" s="1" t="s">
        <v>178</v>
      </c>
      <c r="B36" s="3">
        <v>46415</v>
      </c>
      <c r="C36">
        <v>100.0</v>
      </c>
      <c r="D36">
        <v>4.0</v>
      </c>
      <c r="E36">
        <v>0.0</v>
      </c>
      <c r="F36">
        <v>4.0</v>
      </c>
    </row>
    <row r="37" spans="1:6">
      <c r="A37" s="1" t="s">
        <v>178</v>
      </c>
      <c r="B37" s="3">
        <v>46596</v>
      </c>
      <c r="C37">
        <v>100.0</v>
      </c>
      <c r="D37">
        <v>4.0</v>
      </c>
      <c r="E37">
        <v>0.0</v>
      </c>
      <c r="F37">
        <v>4.0</v>
      </c>
    </row>
    <row r="38" spans="1:6">
      <c r="A38" s="1" t="s">
        <v>178</v>
      </c>
      <c r="B38" s="3">
        <v>46780</v>
      </c>
      <c r="C38">
        <v>100.0</v>
      </c>
      <c r="D38">
        <v>4.0</v>
      </c>
      <c r="E38">
        <v>0.0</v>
      </c>
      <c r="F38">
        <v>4.0</v>
      </c>
    </row>
    <row r="39" spans="1:6">
      <c r="A39" s="1" t="s">
        <v>178</v>
      </c>
      <c r="B39" s="3">
        <v>46962</v>
      </c>
      <c r="C39">
        <v>100.0</v>
      </c>
      <c r="D39">
        <v>4.0</v>
      </c>
      <c r="E39">
        <v>0.0</v>
      </c>
      <c r="F39">
        <v>4.0</v>
      </c>
    </row>
    <row r="40" spans="1:6">
      <c r="A40" s="1" t="s">
        <v>178</v>
      </c>
      <c r="B40" s="3">
        <v>47147</v>
      </c>
      <c r="C40">
        <v>100.0</v>
      </c>
      <c r="D40">
        <v>4.0</v>
      </c>
      <c r="E40">
        <v>0.0</v>
      </c>
      <c r="F40">
        <v>4.0</v>
      </c>
    </row>
    <row r="41" spans="1:6">
      <c r="A41" s="1" t="s">
        <v>178</v>
      </c>
      <c r="B41" s="3">
        <v>47329</v>
      </c>
      <c r="C41">
        <v>100.0</v>
      </c>
      <c r="D41">
        <v>4.0</v>
      </c>
      <c r="E41">
        <v>0.0</v>
      </c>
      <c r="F41">
        <v>4.0</v>
      </c>
    </row>
    <row r="42" spans="1:6">
      <c r="A42" s="1" t="s">
        <v>178</v>
      </c>
      <c r="B42" s="3">
        <v>47511</v>
      </c>
      <c r="C42">
        <v>100.0</v>
      </c>
      <c r="D42">
        <v>4.0</v>
      </c>
      <c r="E42">
        <v>0.0</v>
      </c>
      <c r="F42">
        <v>4.0</v>
      </c>
    </row>
    <row r="43" spans="1:6">
      <c r="A43" s="1" t="s">
        <v>178</v>
      </c>
      <c r="B43" s="3">
        <v>47693</v>
      </c>
      <c r="C43">
        <v>100.0</v>
      </c>
      <c r="D43">
        <v>4.0</v>
      </c>
      <c r="E43">
        <v>0.0</v>
      </c>
      <c r="F43">
        <v>4.0</v>
      </c>
    </row>
    <row r="44" spans="1:6">
      <c r="A44" s="1" t="s">
        <v>178</v>
      </c>
      <c r="B44" s="3">
        <v>47876</v>
      </c>
      <c r="C44">
        <v>0.0</v>
      </c>
      <c r="D44">
        <v>4.0</v>
      </c>
      <c r="E44">
        <v>100.0</v>
      </c>
      <c r="F44">
        <v>104.0</v>
      </c>
    </row>
    <row r="45" spans="1:6">
      <c r="A45" s="1" t="s">
        <v>112</v>
      </c>
      <c r="B45" s="3">
        <v>44440</v>
      </c>
      <c r="C45">
        <v>100.0</v>
      </c>
      <c r="D45">
        <v>0.423611</v>
      </c>
      <c r="E45">
        <v>0.0</v>
      </c>
      <c r="F45">
        <v>0.423611</v>
      </c>
    </row>
    <row r="46" spans="1:6">
      <c r="A46" s="1" t="s">
        <v>112</v>
      </c>
      <c r="B46" s="3">
        <v>44622</v>
      </c>
      <c r="C46">
        <v>100.0</v>
      </c>
      <c r="D46">
        <v>1.75</v>
      </c>
      <c r="E46">
        <v>0.0</v>
      </c>
      <c r="F46">
        <v>1.75</v>
      </c>
    </row>
    <row r="47" spans="1:6">
      <c r="A47" s="1" t="s">
        <v>112</v>
      </c>
      <c r="B47" s="3">
        <v>44805</v>
      </c>
      <c r="C47">
        <v>100.0</v>
      </c>
      <c r="D47">
        <v>1.75</v>
      </c>
      <c r="E47">
        <v>0.0</v>
      </c>
      <c r="F47">
        <v>1.75</v>
      </c>
    </row>
    <row r="48" spans="1:6">
      <c r="A48" s="1" t="s">
        <v>112</v>
      </c>
      <c r="B48" s="3">
        <v>44986</v>
      </c>
      <c r="C48">
        <v>100.0</v>
      </c>
      <c r="D48">
        <v>2.25</v>
      </c>
      <c r="E48">
        <v>0.0</v>
      </c>
      <c r="F48">
        <v>2.25</v>
      </c>
    </row>
    <row r="49" spans="1:6">
      <c r="A49" s="1" t="s">
        <v>112</v>
      </c>
      <c r="B49" s="3">
        <v>45170</v>
      </c>
      <c r="C49">
        <v>100.0</v>
      </c>
      <c r="D49">
        <v>2.25</v>
      </c>
      <c r="E49">
        <v>0.0</v>
      </c>
      <c r="F49">
        <v>2.25</v>
      </c>
    </row>
    <row r="50" spans="1:6">
      <c r="A50" s="1" t="s">
        <v>112</v>
      </c>
      <c r="B50" s="3">
        <v>45352</v>
      </c>
      <c r="C50">
        <v>100.0</v>
      </c>
      <c r="D50">
        <v>2.75</v>
      </c>
      <c r="E50">
        <v>0.0</v>
      </c>
      <c r="F50">
        <v>2.75</v>
      </c>
    </row>
    <row r="51" spans="1:6">
      <c r="A51" s="1" t="s">
        <v>112</v>
      </c>
      <c r="B51" s="3">
        <v>45537</v>
      </c>
      <c r="C51">
        <v>100.0</v>
      </c>
      <c r="D51">
        <v>2.75</v>
      </c>
      <c r="E51">
        <v>0.0</v>
      </c>
      <c r="F51">
        <v>2.75</v>
      </c>
    </row>
    <row r="52" spans="1:6">
      <c r="A52" s="1" t="s">
        <v>112</v>
      </c>
      <c r="B52" s="3">
        <v>45721</v>
      </c>
      <c r="C52">
        <v>100.0</v>
      </c>
      <c r="D52">
        <v>2.9375</v>
      </c>
      <c r="E52">
        <v>0.0</v>
      </c>
      <c r="F52">
        <v>2.9375</v>
      </c>
    </row>
    <row r="53" spans="1:6">
      <c r="A53" s="1" t="s">
        <v>112</v>
      </c>
      <c r="B53" s="3">
        <v>45901</v>
      </c>
      <c r="C53">
        <v>100.0</v>
      </c>
      <c r="D53">
        <v>2.9375</v>
      </c>
      <c r="E53">
        <v>0.0</v>
      </c>
      <c r="F53">
        <v>2.9375</v>
      </c>
    </row>
    <row r="54" spans="1:6">
      <c r="A54" s="1" t="s">
        <v>112</v>
      </c>
      <c r="B54" s="3">
        <v>46083</v>
      </c>
      <c r="C54">
        <v>100.0</v>
      </c>
      <c r="D54">
        <v>2.9375</v>
      </c>
      <c r="E54">
        <v>0.0</v>
      </c>
      <c r="F54">
        <v>2.9375</v>
      </c>
    </row>
    <row r="55" spans="1:6">
      <c r="A55" s="1" t="s">
        <v>112</v>
      </c>
      <c r="B55" s="3">
        <v>46266</v>
      </c>
      <c r="C55">
        <v>100.0</v>
      </c>
      <c r="D55">
        <v>2.9375</v>
      </c>
      <c r="E55">
        <v>0.0</v>
      </c>
      <c r="F55">
        <v>2.9375</v>
      </c>
    </row>
    <row r="56" spans="1:6">
      <c r="A56" s="1" t="s">
        <v>112</v>
      </c>
      <c r="B56" s="3">
        <v>46447</v>
      </c>
      <c r="C56">
        <v>100.0</v>
      </c>
      <c r="D56">
        <v>2.9375</v>
      </c>
      <c r="E56">
        <v>0.0</v>
      </c>
      <c r="F56">
        <v>2.9375</v>
      </c>
    </row>
    <row r="57" spans="1:6">
      <c r="A57" s="1" t="s">
        <v>112</v>
      </c>
      <c r="B57" s="3">
        <v>46631</v>
      </c>
      <c r="C57">
        <v>100.0</v>
      </c>
      <c r="D57">
        <v>2.9375</v>
      </c>
      <c r="E57">
        <v>0.0</v>
      </c>
      <c r="F57">
        <v>2.9375</v>
      </c>
    </row>
    <row r="58" spans="1:6">
      <c r="A58" s="1" t="s">
        <v>112</v>
      </c>
      <c r="B58" s="3">
        <v>46813</v>
      </c>
      <c r="C58">
        <v>100.0</v>
      </c>
      <c r="D58">
        <v>2.9375</v>
      </c>
      <c r="E58">
        <v>0.0</v>
      </c>
      <c r="F58">
        <v>2.9375</v>
      </c>
    </row>
    <row r="59" spans="1:6">
      <c r="A59" s="1" t="s">
        <v>112</v>
      </c>
      <c r="B59" s="3">
        <v>46997</v>
      </c>
      <c r="C59">
        <v>99.25</v>
      </c>
      <c r="D59">
        <v>2.9375</v>
      </c>
      <c r="E59">
        <v>0.75</v>
      </c>
      <c r="F59">
        <v>3.6875</v>
      </c>
    </row>
    <row r="60" spans="1:6">
      <c r="A60" s="1" t="s">
        <v>112</v>
      </c>
      <c r="B60" s="3">
        <v>47178</v>
      </c>
      <c r="C60">
        <v>98.5</v>
      </c>
      <c r="D60">
        <v>2.915469</v>
      </c>
      <c r="E60">
        <v>0.75</v>
      </c>
      <c r="F60">
        <v>3.665469</v>
      </c>
    </row>
    <row r="61" spans="1:6">
      <c r="A61" s="1" t="s">
        <v>112</v>
      </c>
      <c r="B61" s="3">
        <v>47364</v>
      </c>
      <c r="C61">
        <v>97.75</v>
      </c>
      <c r="D61">
        <v>2.893437</v>
      </c>
      <c r="E61">
        <v>0.75</v>
      </c>
      <c r="F61">
        <v>3.643437</v>
      </c>
    </row>
    <row r="62" spans="1:6">
      <c r="A62" s="1" t="s">
        <v>112</v>
      </c>
      <c r="B62" s="3">
        <v>47543</v>
      </c>
      <c r="C62">
        <v>91.6</v>
      </c>
      <c r="D62">
        <v>2.871406</v>
      </c>
      <c r="E62">
        <v>6.15</v>
      </c>
      <c r="F62">
        <v>9.021406</v>
      </c>
    </row>
    <row r="63" spans="1:6">
      <c r="A63" s="1" t="s">
        <v>112</v>
      </c>
      <c r="B63" s="3">
        <v>47728</v>
      </c>
      <c r="C63">
        <v>85.45</v>
      </c>
      <c r="D63">
        <v>2.69075</v>
      </c>
      <c r="E63">
        <v>6.15</v>
      </c>
      <c r="F63">
        <v>8.84075</v>
      </c>
    </row>
    <row r="64" spans="1:6">
      <c r="A64" s="1" t="s">
        <v>112</v>
      </c>
      <c r="B64" s="3">
        <v>47910</v>
      </c>
      <c r="C64">
        <v>79.1</v>
      </c>
      <c r="D64">
        <v>2.510094</v>
      </c>
      <c r="E64">
        <v>6.35</v>
      </c>
      <c r="F64">
        <v>8.860094</v>
      </c>
    </row>
    <row r="65" spans="1:6">
      <c r="A65" s="1" t="s">
        <v>112</v>
      </c>
      <c r="B65" s="3">
        <v>48092</v>
      </c>
      <c r="C65">
        <v>72.75</v>
      </c>
      <c r="D65">
        <v>2.323562</v>
      </c>
      <c r="E65">
        <v>6.35</v>
      </c>
      <c r="F65">
        <v>8.673562</v>
      </c>
    </row>
    <row r="66" spans="1:6">
      <c r="A66" s="1" t="s">
        <v>112</v>
      </c>
      <c r="B66" s="3">
        <v>48274</v>
      </c>
      <c r="C66">
        <v>66.4</v>
      </c>
      <c r="D66">
        <v>2.137031</v>
      </c>
      <c r="E66">
        <v>6.35</v>
      </c>
      <c r="F66">
        <v>8.487031</v>
      </c>
    </row>
    <row r="67" spans="1:6">
      <c r="A67" s="1" t="s">
        <v>112</v>
      </c>
      <c r="B67" s="3">
        <v>48458</v>
      </c>
      <c r="C67">
        <v>60.05</v>
      </c>
      <c r="D67">
        <v>1.9505</v>
      </c>
      <c r="E67">
        <v>6.35</v>
      </c>
      <c r="F67">
        <v>8.3005</v>
      </c>
    </row>
    <row r="68" spans="1:6">
      <c r="A68" s="1" t="s">
        <v>112</v>
      </c>
      <c r="B68" s="3">
        <v>48639</v>
      </c>
      <c r="C68">
        <v>53.7</v>
      </c>
      <c r="D68">
        <v>1.763969</v>
      </c>
      <c r="E68">
        <v>6.35</v>
      </c>
      <c r="F68">
        <v>8.113969</v>
      </c>
    </row>
    <row r="69" spans="1:6">
      <c r="A69" s="1" t="s">
        <v>112</v>
      </c>
      <c r="B69" s="3">
        <v>48823</v>
      </c>
      <c r="C69">
        <v>47.35</v>
      </c>
      <c r="D69">
        <v>1.577438</v>
      </c>
      <c r="E69">
        <v>6.35</v>
      </c>
      <c r="F69">
        <v>7.927437</v>
      </c>
    </row>
    <row r="70" spans="1:6">
      <c r="A70" s="1" t="s">
        <v>112</v>
      </c>
      <c r="B70" s="3">
        <v>49004</v>
      </c>
      <c r="C70">
        <v>41.45</v>
      </c>
      <c r="D70">
        <v>1.390906</v>
      </c>
      <c r="E70">
        <v>5.9</v>
      </c>
      <c r="F70">
        <v>7.290906</v>
      </c>
    </row>
    <row r="71" spans="1:6">
      <c r="A71" s="1" t="s">
        <v>112</v>
      </c>
      <c r="B71" s="3">
        <v>49188</v>
      </c>
      <c r="C71">
        <v>35.55</v>
      </c>
      <c r="D71">
        <v>1.217594</v>
      </c>
      <c r="E71">
        <v>5.9</v>
      </c>
      <c r="F71">
        <v>7.117594</v>
      </c>
    </row>
    <row r="72" spans="1:6">
      <c r="A72" s="1" t="s">
        <v>112</v>
      </c>
      <c r="B72" s="3">
        <v>49369</v>
      </c>
      <c r="C72">
        <v>29.65</v>
      </c>
      <c r="D72">
        <v>1.044281</v>
      </c>
      <c r="E72">
        <v>5.9</v>
      </c>
      <c r="F72">
        <v>6.944281</v>
      </c>
    </row>
    <row r="73" spans="1:6">
      <c r="A73" s="1" t="s">
        <v>112</v>
      </c>
      <c r="B73" s="3">
        <v>49555</v>
      </c>
      <c r="C73">
        <v>23.75</v>
      </c>
      <c r="D73">
        <v>0.870969</v>
      </c>
      <c r="E73">
        <v>5.9</v>
      </c>
      <c r="F73">
        <v>6.770969</v>
      </c>
    </row>
    <row r="74" spans="1:6">
      <c r="A74" s="1" t="s">
        <v>112</v>
      </c>
      <c r="B74" s="3">
        <v>49737</v>
      </c>
      <c r="C74">
        <v>17.85</v>
      </c>
      <c r="D74">
        <v>0.697656</v>
      </c>
      <c r="E74">
        <v>5.9</v>
      </c>
      <c r="F74">
        <v>6.597656</v>
      </c>
    </row>
    <row r="75" spans="1:6">
      <c r="A75" s="1" t="s">
        <v>112</v>
      </c>
      <c r="B75" s="3">
        <v>49919</v>
      </c>
      <c r="C75">
        <v>11.95</v>
      </c>
      <c r="D75">
        <v>0.524344</v>
      </c>
      <c r="E75">
        <v>5.9</v>
      </c>
      <c r="F75">
        <v>6.424344</v>
      </c>
    </row>
    <row r="76" spans="1:6">
      <c r="A76" s="1" t="s">
        <v>112</v>
      </c>
      <c r="B76" s="3">
        <v>50101</v>
      </c>
      <c r="C76">
        <v>5.97</v>
      </c>
      <c r="D76">
        <v>0.351031</v>
      </c>
      <c r="E76">
        <v>5.98</v>
      </c>
      <c r="F76">
        <v>6.331031</v>
      </c>
    </row>
    <row r="77" spans="1:6">
      <c r="A77" s="1" t="s">
        <v>112</v>
      </c>
      <c r="B77" s="3">
        <v>50284</v>
      </c>
      <c r="C77">
        <v>0.0</v>
      </c>
      <c r="D77">
        <v>0.175369</v>
      </c>
      <c r="E77">
        <v>5.97</v>
      </c>
      <c r="F77">
        <v>6.145369</v>
      </c>
    </row>
    <row r="78" spans="1:6">
      <c r="A78" s="1" t="s">
        <v>114</v>
      </c>
      <c r="B78" s="3">
        <v>44440</v>
      </c>
      <c r="C78">
        <v>100.0</v>
      </c>
      <c r="D78">
        <v>0.338889</v>
      </c>
      <c r="E78">
        <v>0.0</v>
      </c>
      <c r="F78">
        <v>0.338889</v>
      </c>
    </row>
    <row r="79" spans="1:6">
      <c r="A79" s="1" t="s">
        <v>114</v>
      </c>
      <c r="B79" s="3">
        <v>44622</v>
      </c>
      <c r="C79">
        <v>100.0</v>
      </c>
      <c r="D79">
        <v>1.5</v>
      </c>
      <c r="E79">
        <v>0.0</v>
      </c>
      <c r="F79">
        <v>1.5</v>
      </c>
    </row>
    <row r="80" spans="1:6">
      <c r="A80" s="1" t="s">
        <v>114</v>
      </c>
      <c r="B80" s="3">
        <v>44805</v>
      </c>
      <c r="C80">
        <v>100.0</v>
      </c>
      <c r="D80">
        <v>1.5</v>
      </c>
      <c r="E80">
        <v>0.0</v>
      </c>
      <c r="F80">
        <v>1.5</v>
      </c>
    </row>
    <row r="81" spans="1:6">
      <c r="A81" s="1" t="s">
        <v>114</v>
      </c>
      <c r="B81" s="3">
        <v>44986</v>
      </c>
      <c r="C81">
        <v>100.0</v>
      </c>
      <c r="D81">
        <v>2.0</v>
      </c>
      <c r="E81">
        <v>0.0</v>
      </c>
      <c r="F81">
        <v>2.0</v>
      </c>
    </row>
    <row r="82" spans="1:6">
      <c r="A82" s="1" t="s">
        <v>114</v>
      </c>
      <c r="B82" s="3">
        <v>45170</v>
      </c>
      <c r="C82">
        <v>100.0</v>
      </c>
      <c r="D82">
        <v>2.0</v>
      </c>
      <c r="E82">
        <v>0.0</v>
      </c>
      <c r="F82">
        <v>2.0</v>
      </c>
    </row>
    <row r="83" spans="1:6">
      <c r="A83" s="1" t="s">
        <v>114</v>
      </c>
      <c r="B83" s="3">
        <v>45352</v>
      </c>
      <c r="C83">
        <v>100.0</v>
      </c>
      <c r="D83">
        <v>2.5</v>
      </c>
      <c r="E83">
        <v>0.0</v>
      </c>
      <c r="F83">
        <v>2.5</v>
      </c>
    </row>
    <row r="84" spans="1:6">
      <c r="A84" s="1" t="s">
        <v>114</v>
      </c>
      <c r="B84" s="3">
        <v>45537</v>
      </c>
      <c r="C84">
        <v>100.0</v>
      </c>
      <c r="D84">
        <v>2.5</v>
      </c>
      <c r="E84">
        <v>0.0</v>
      </c>
      <c r="F84">
        <v>2.5</v>
      </c>
    </row>
    <row r="85" spans="1:6">
      <c r="A85" s="1" t="s">
        <v>114</v>
      </c>
      <c r="B85" s="3">
        <v>45721</v>
      </c>
      <c r="C85">
        <v>100.0</v>
      </c>
      <c r="D85">
        <v>2.625</v>
      </c>
      <c r="E85">
        <v>0.0</v>
      </c>
      <c r="F85">
        <v>2.625</v>
      </c>
    </row>
    <row r="86" spans="1:6">
      <c r="A86" s="1" t="s">
        <v>114</v>
      </c>
      <c r="B86" s="3">
        <v>45901</v>
      </c>
      <c r="C86">
        <v>100.0</v>
      </c>
      <c r="D86">
        <v>2.625</v>
      </c>
      <c r="E86">
        <v>0.0</v>
      </c>
      <c r="F86">
        <v>2.625</v>
      </c>
    </row>
    <row r="87" spans="1:6">
      <c r="A87" s="1" t="s">
        <v>114</v>
      </c>
      <c r="B87" s="3">
        <v>46083</v>
      </c>
      <c r="C87">
        <v>100.0</v>
      </c>
      <c r="D87">
        <v>2.625</v>
      </c>
      <c r="E87">
        <v>0.0</v>
      </c>
      <c r="F87">
        <v>2.625</v>
      </c>
    </row>
    <row r="88" spans="1:6">
      <c r="A88" s="1" t="s">
        <v>114</v>
      </c>
      <c r="B88" s="3">
        <v>46266</v>
      </c>
      <c r="C88">
        <v>100.0</v>
      </c>
      <c r="D88">
        <v>2.625</v>
      </c>
      <c r="E88">
        <v>0.0</v>
      </c>
      <c r="F88">
        <v>2.625</v>
      </c>
    </row>
    <row r="89" spans="1:6">
      <c r="A89" s="1" t="s">
        <v>114</v>
      </c>
      <c r="B89" s="3">
        <v>46447</v>
      </c>
      <c r="C89">
        <v>100.0</v>
      </c>
      <c r="D89">
        <v>2.625</v>
      </c>
      <c r="E89">
        <v>0.0</v>
      </c>
      <c r="F89">
        <v>2.625</v>
      </c>
    </row>
    <row r="90" spans="1:6">
      <c r="A90" s="1" t="s">
        <v>114</v>
      </c>
      <c r="B90" s="3">
        <v>46631</v>
      </c>
      <c r="C90">
        <v>100.0</v>
      </c>
      <c r="D90">
        <v>2.625</v>
      </c>
      <c r="E90">
        <v>0.0</v>
      </c>
      <c r="F90">
        <v>2.625</v>
      </c>
    </row>
    <row r="91" spans="1:6">
      <c r="A91" s="1" t="s">
        <v>114</v>
      </c>
      <c r="B91" s="3">
        <v>46813</v>
      </c>
      <c r="C91">
        <v>100.0</v>
      </c>
      <c r="D91">
        <v>2.625</v>
      </c>
      <c r="E91">
        <v>0.0</v>
      </c>
      <c r="F91">
        <v>2.625</v>
      </c>
    </row>
    <row r="92" spans="1:6">
      <c r="A92" s="1" t="s">
        <v>114</v>
      </c>
      <c r="B92" s="3">
        <v>46997</v>
      </c>
      <c r="C92">
        <v>99.25</v>
      </c>
      <c r="D92">
        <v>2.625</v>
      </c>
      <c r="E92">
        <v>0.75</v>
      </c>
      <c r="F92">
        <v>3.375</v>
      </c>
    </row>
    <row r="93" spans="1:6">
      <c r="A93" s="1" t="s">
        <v>114</v>
      </c>
      <c r="B93" s="3">
        <v>47178</v>
      </c>
      <c r="C93">
        <v>98.5</v>
      </c>
      <c r="D93">
        <v>2.605313</v>
      </c>
      <c r="E93">
        <v>0.75</v>
      </c>
      <c r="F93">
        <v>3.355313</v>
      </c>
    </row>
    <row r="94" spans="1:6">
      <c r="A94" s="1" t="s">
        <v>114</v>
      </c>
      <c r="B94" s="3">
        <v>47364</v>
      </c>
      <c r="C94">
        <v>97.75</v>
      </c>
      <c r="D94">
        <v>2.585625</v>
      </c>
      <c r="E94">
        <v>0.75</v>
      </c>
      <c r="F94">
        <v>3.335625</v>
      </c>
    </row>
    <row r="95" spans="1:6">
      <c r="A95" s="1" t="s">
        <v>114</v>
      </c>
      <c r="B95" s="3">
        <v>47543</v>
      </c>
      <c r="C95">
        <v>91.6</v>
      </c>
      <c r="D95">
        <v>2.565937</v>
      </c>
      <c r="E95">
        <v>6.15</v>
      </c>
      <c r="F95">
        <v>8.715938</v>
      </c>
    </row>
    <row r="96" spans="1:6">
      <c r="A96" s="1" t="s">
        <v>114</v>
      </c>
      <c r="B96" s="3">
        <v>47728</v>
      </c>
      <c r="C96">
        <v>85.45</v>
      </c>
      <c r="D96">
        <v>2.4045</v>
      </c>
      <c r="E96">
        <v>6.15</v>
      </c>
      <c r="F96">
        <v>8.5545</v>
      </c>
    </row>
    <row r="97" spans="1:6">
      <c r="A97" s="1" t="s">
        <v>114</v>
      </c>
      <c r="B97" s="3">
        <v>47910</v>
      </c>
      <c r="C97">
        <v>79.1</v>
      </c>
      <c r="D97">
        <v>2.243062</v>
      </c>
      <c r="E97">
        <v>6.35</v>
      </c>
      <c r="F97">
        <v>8.593062</v>
      </c>
    </row>
    <row r="98" spans="1:6">
      <c r="A98" s="1" t="s">
        <v>114</v>
      </c>
      <c r="B98" s="3">
        <v>48092</v>
      </c>
      <c r="C98">
        <v>72.75</v>
      </c>
      <c r="D98">
        <v>2.076375</v>
      </c>
      <c r="E98">
        <v>6.35</v>
      </c>
      <c r="F98">
        <v>8.426375</v>
      </c>
    </row>
    <row r="99" spans="1:6">
      <c r="A99" s="1" t="s">
        <v>114</v>
      </c>
      <c r="B99" s="3">
        <v>48274</v>
      </c>
      <c r="C99">
        <v>66.4</v>
      </c>
      <c r="D99">
        <v>1.909687</v>
      </c>
      <c r="E99">
        <v>6.35</v>
      </c>
      <c r="F99">
        <v>8.259688</v>
      </c>
    </row>
    <row r="100" spans="1:6">
      <c r="A100" s="1" t="s">
        <v>114</v>
      </c>
      <c r="B100" s="3">
        <v>48458</v>
      </c>
      <c r="C100">
        <v>60.05</v>
      </c>
      <c r="D100">
        <v>1.743</v>
      </c>
      <c r="E100">
        <v>6.35</v>
      </c>
      <c r="F100">
        <v>8.093</v>
      </c>
    </row>
    <row r="101" spans="1:6">
      <c r="A101" s="1" t="s">
        <v>114</v>
      </c>
      <c r="B101" s="3">
        <v>48639</v>
      </c>
      <c r="C101">
        <v>53.7</v>
      </c>
      <c r="D101">
        <v>1.576313</v>
      </c>
      <c r="E101">
        <v>6.35</v>
      </c>
      <c r="F101">
        <v>7.926312</v>
      </c>
    </row>
    <row r="102" spans="1:6">
      <c r="A102" s="1" t="s">
        <v>114</v>
      </c>
      <c r="B102" s="3">
        <v>48823</v>
      </c>
      <c r="C102">
        <v>47.35</v>
      </c>
      <c r="D102">
        <v>1.409625</v>
      </c>
      <c r="E102">
        <v>6.35</v>
      </c>
      <c r="F102">
        <v>7.759625</v>
      </c>
    </row>
    <row r="103" spans="1:6">
      <c r="A103" s="1" t="s">
        <v>114</v>
      </c>
      <c r="B103" s="3">
        <v>49004</v>
      </c>
      <c r="C103">
        <v>41.45</v>
      </c>
      <c r="D103">
        <v>1.242938</v>
      </c>
      <c r="E103">
        <v>5.9</v>
      </c>
      <c r="F103">
        <v>7.142937</v>
      </c>
    </row>
    <row r="104" spans="1:6">
      <c r="A104" s="1" t="s">
        <v>114</v>
      </c>
      <c r="B104" s="3">
        <v>49188</v>
      </c>
      <c r="C104">
        <v>35.55</v>
      </c>
      <c r="D104">
        <v>1.088062</v>
      </c>
      <c r="E104">
        <v>5.9</v>
      </c>
      <c r="F104">
        <v>6.988062</v>
      </c>
    </row>
    <row r="105" spans="1:6">
      <c r="A105" s="1" t="s">
        <v>114</v>
      </c>
      <c r="B105" s="3">
        <v>49369</v>
      </c>
      <c r="C105">
        <v>29.65</v>
      </c>
      <c r="D105">
        <v>0.933187</v>
      </c>
      <c r="E105">
        <v>5.9</v>
      </c>
      <c r="F105">
        <v>6.833187</v>
      </c>
    </row>
    <row r="106" spans="1:6">
      <c r="A106" s="1" t="s">
        <v>114</v>
      </c>
      <c r="B106" s="3">
        <v>49555</v>
      </c>
      <c r="C106">
        <v>23.75</v>
      </c>
      <c r="D106">
        <v>0.778312</v>
      </c>
      <c r="E106">
        <v>5.9</v>
      </c>
      <c r="F106">
        <v>6.678312</v>
      </c>
    </row>
    <row r="107" spans="1:6">
      <c r="A107" s="1" t="s">
        <v>114</v>
      </c>
      <c r="B107" s="3">
        <v>49737</v>
      </c>
      <c r="C107">
        <v>17.85</v>
      </c>
      <c r="D107">
        <v>0.623437</v>
      </c>
      <c r="E107">
        <v>5.9</v>
      </c>
      <c r="F107">
        <v>6.523437</v>
      </c>
    </row>
    <row r="108" spans="1:6">
      <c r="A108" s="1" t="s">
        <v>114</v>
      </c>
      <c r="B108" s="3">
        <v>49919</v>
      </c>
      <c r="C108">
        <v>11.95</v>
      </c>
      <c r="D108">
        <v>0.468562</v>
      </c>
      <c r="E108">
        <v>5.9</v>
      </c>
      <c r="F108">
        <v>6.368562</v>
      </c>
    </row>
    <row r="109" spans="1:6">
      <c r="A109" s="1" t="s">
        <v>114</v>
      </c>
      <c r="B109" s="3">
        <v>50101</v>
      </c>
      <c r="C109">
        <v>5.97</v>
      </c>
      <c r="D109">
        <v>0.313688</v>
      </c>
      <c r="E109">
        <v>5.98</v>
      </c>
      <c r="F109">
        <v>6.293687</v>
      </c>
    </row>
    <row r="110" spans="1:6">
      <c r="A110" s="1" t="s">
        <v>114</v>
      </c>
      <c r="B110" s="3">
        <v>50284</v>
      </c>
      <c r="C110">
        <v>0.0</v>
      </c>
      <c r="D110">
        <v>0.156713</v>
      </c>
      <c r="E110">
        <v>5.97</v>
      </c>
      <c r="F110">
        <v>6.126713</v>
      </c>
    </row>
    <row r="111" spans="1:6">
      <c r="A111" s="1" t="s">
        <v>162</v>
      </c>
      <c r="B111" s="3">
        <v>46168</v>
      </c>
      <c r="C111">
        <v>100.0</v>
      </c>
      <c r="D111">
        <v>3.9</v>
      </c>
      <c r="E111">
        <v>0.0</v>
      </c>
      <c r="F111">
        <v>3.9</v>
      </c>
    </row>
    <row r="112" spans="1:6">
      <c r="A112" s="1" t="s">
        <v>162</v>
      </c>
      <c r="B112" s="3">
        <v>46352</v>
      </c>
      <c r="C112">
        <v>100.0</v>
      </c>
      <c r="D112">
        <v>3.9</v>
      </c>
      <c r="E112">
        <v>0.0</v>
      </c>
      <c r="F112">
        <v>3.9</v>
      </c>
    </row>
    <row r="113" spans="1:6">
      <c r="A113" s="1" t="s">
        <v>162</v>
      </c>
      <c r="B113" s="3">
        <v>46533</v>
      </c>
      <c r="C113">
        <v>100.0</v>
      </c>
      <c r="D113">
        <v>3.9</v>
      </c>
      <c r="E113">
        <v>0.0</v>
      </c>
      <c r="F113">
        <v>3.9</v>
      </c>
    </row>
    <row r="114" spans="1:6">
      <c r="A114" s="1" t="s">
        <v>162</v>
      </c>
      <c r="B114" s="3">
        <v>46717</v>
      </c>
      <c r="C114">
        <v>100.0</v>
      </c>
      <c r="D114">
        <v>3.9</v>
      </c>
      <c r="E114">
        <v>0.0</v>
      </c>
      <c r="F114">
        <v>3.9</v>
      </c>
    </row>
    <row r="115" spans="1:6">
      <c r="A115" s="1" t="s">
        <v>162</v>
      </c>
      <c r="B115" s="3">
        <v>46899</v>
      </c>
      <c r="C115">
        <v>100.0</v>
      </c>
      <c r="D115">
        <v>3.9</v>
      </c>
      <c r="E115">
        <v>0.0</v>
      </c>
      <c r="F115">
        <v>3.9</v>
      </c>
    </row>
    <row r="116" spans="1:6">
      <c r="A116" s="1" t="s">
        <v>162</v>
      </c>
      <c r="B116" s="3">
        <v>47084</v>
      </c>
      <c r="C116">
        <v>100.0</v>
      </c>
      <c r="D116">
        <v>3.9</v>
      </c>
      <c r="E116">
        <v>0.0</v>
      </c>
      <c r="F116">
        <v>3.9</v>
      </c>
    </row>
    <row r="117" spans="1:6">
      <c r="A117" s="1" t="s">
        <v>162</v>
      </c>
      <c r="B117" s="3">
        <v>47266</v>
      </c>
      <c r="C117">
        <v>100.0</v>
      </c>
      <c r="D117">
        <v>3.9</v>
      </c>
      <c r="E117">
        <v>0.0</v>
      </c>
      <c r="F117">
        <v>3.9</v>
      </c>
    </row>
    <row r="118" spans="1:6">
      <c r="A118" s="1" t="s">
        <v>162</v>
      </c>
      <c r="B118" s="3">
        <v>47448</v>
      </c>
      <c r="C118">
        <v>100.0</v>
      </c>
      <c r="D118">
        <v>3.9</v>
      </c>
      <c r="E118">
        <v>0.0</v>
      </c>
      <c r="F118">
        <v>3.9</v>
      </c>
    </row>
    <row r="119" spans="1:6">
      <c r="A119" s="1" t="s">
        <v>162</v>
      </c>
      <c r="B119" s="3">
        <v>47630</v>
      </c>
      <c r="C119">
        <v>100.0</v>
      </c>
      <c r="D119">
        <v>3.9</v>
      </c>
      <c r="E119">
        <v>0.0</v>
      </c>
      <c r="F119">
        <v>3.9</v>
      </c>
    </row>
    <row r="120" spans="1:6">
      <c r="A120" s="1" t="s">
        <v>162</v>
      </c>
      <c r="B120" s="3">
        <v>47813</v>
      </c>
      <c r="C120">
        <v>100.0</v>
      </c>
      <c r="D120">
        <v>3.9</v>
      </c>
      <c r="E120">
        <v>0.0</v>
      </c>
      <c r="F120">
        <v>3.9</v>
      </c>
    </row>
    <row r="121" spans="1:6">
      <c r="A121" s="1" t="s">
        <v>162</v>
      </c>
      <c r="B121" s="3">
        <v>47994</v>
      </c>
      <c r="C121">
        <v>100.0</v>
      </c>
      <c r="D121">
        <v>3.9</v>
      </c>
      <c r="E121">
        <v>0.0</v>
      </c>
      <c r="F121">
        <v>3.9</v>
      </c>
    </row>
    <row r="122" spans="1:6">
      <c r="A122" s="1" t="s">
        <v>162</v>
      </c>
      <c r="B122" s="3">
        <v>48178</v>
      </c>
      <c r="C122">
        <v>66.67</v>
      </c>
      <c r="D122">
        <v>3.9</v>
      </c>
      <c r="E122">
        <v>33.33</v>
      </c>
      <c r="F122">
        <v>37.23</v>
      </c>
    </row>
    <row r="123" spans="1:6">
      <c r="A123" s="1" t="s">
        <v>162</v>
      </c>
      <c r="B123" s="3">
        <v>48360</v>
      </c>
      <c r="C123">
        <v>66.67</v>
      </c>
      <c r="D123">
        <v>2.60013</v>
      </c>
      <c r="E123">
        <v>0.0</v>
      </c>
      <c r="F123">
        <v>2.60013</v>
      </c>
    </row>
    <row r="124" spans="1:6">
      <c r="A124" s="1" t="s">
        <v>162</v>
      </c>
      <c r="B124" s="3">
        <v>48544</v>
      </c>
      <c r="C124">
        <v>33.34</v>
      </c>
      <c r="D124">
        <v>2.60013</v>
      </c>
      <c r="E124">
        <v>33.33</v>
      </c>
      <c r="F124">
        <v>35.93013</v>
      </c>
    </row>
    <row r="125" spans="1:6">
      <c r="A125" s="1" t="s">
        <v>162</v>
      </c>
      <c r="B125" s="3">
        <v>48725</v>
      </c>
      <c r="C125">
        <v>33.34</v>
      </c>
      <c r="D125">
        <v>1.30026</v>
      </c>
      <c r="E125">
        <v>0.0</v>
      </c>
      <c r="F125">
        <v>1.30026</v>
      </c>
    </row>
    <row r="126" spans="1:6">
      <c r="A126" s="1" t="s">
        <v>162</v>
      </c>
      <c r="B126" s="3">
        <v>48911</v>
      </c>
      <c r="C126">
        <v>0.0</v>
      </c>
      <c r="D126">
        <v>1.30026</v>
      </c>
      <c r="E126">
        <v>33.34</v>
      </c>
      <c r="F126">
        <v>34.64026</v>
      </c>
    </row>
    <row r="127" spans="1:6">
      <c r="A127" s="1" t="s">
        <v>116</v>
      </c>
      <c r="B127" s="3">
        <v>46339</v>
      </c>
      <c r="C127">
        <v>100.0</v>
      </c>
      <c r="D127">
        <v>3.525</v>
      </c>
      <c r="E127">
        <v>0.0</v>
      </c>
      <c r="F127">
        <v>3.525</v>
      </c>
    </row>
    <row r="128" spans="1:6">
      <c r="A128" s="1" t="s">
        <v>116</v>
      </c>
      <c r="B128" s="3">
        <v>46520</v>
      </c>
      <c r="C128">
        <v>100.0</v>
      </c>
      <c r="D128">
        <v>3.525</v>
      </c>
      <c r="E128">
        <v>0.0</v>
      </c>
      <c r="F128">
        <v>3.525</v>
      </c>
    </row>
    <row r="129" spans="1:6">
      <c r="A129" s="1" t="s">
        <v>116</v>
      </c>
      <c r="B129" s="3">
        <v>46706</v>
      </c>
      <c r="C129">
        <v>100.0</v>
      </c>
      <c r="D129">
        <v>3.525</v>
      </c>
      <c r="E129">
        <v>0.0</v>
      </c>
      <c r="F129">
        <v>3.525</v>
      </c>
    </row>
    <row r="130" spans="1:6">
      <c r="A130" s="1" t="s">
        <v>116</v>
      </c>
      <c r="B130" s="3">
        <v>46888</v>
      </c>
      <c r="C130">
        <v>100.0</v>
      </c>
      <c r="D130">
        <v>3.525</v>
      </c>
      <c r="E130">
        <v>0.0</v>
      </c>
      <c r="F130">
        <v>3.525</v>
      </c>
    </row>
    <row r="131" spans="1:6">
      <c r="A131" s="1" t="s">
        <v>116</v>
      </c>
      <c r="B131" s="3">
        <v>47070</v>
      </c>
      <c r="C131">
        <v>100.0</v>
      </c>
      <c r="D131">
        <v>3.525</v>
      </c>
      <c r="E131">
        <v>0.0</v>
      </c>
      <c r="F131">
        <v>3.525</v>
      </c>
    </row>
    <row r="132" spans="1:6">
      <c r="A132" s="1" t="s">
        <v>116</v>
      </c>
      <c r="B132" s="3">
        <v>47252</v>
      </c>
      <c r="C132">
        <v>100.0</v>
      </c>
      <c r="D132">
        <v>3.525</v>
      </c>
      <c r="E132">
        <v>0.0</v>
      </c>
      <c r="F132">
        <v>3.525</v>
      </c>
    </row>
    <row r="133" spans="1:6">
      <c r="A133" s="1" t="s">
        <v>116</v>
      </c>
      <c r="B133" s="3">
        <v>47435</v>
      </c>
      <c r="C133">
        <v>100.0</v>
      </c>
      <c r="D133">
        <v>3.525</v>
      </c>
      <c r="E133">
        <v>0.0</v>
      </c>
      <c r="F133">
        <v>3.525</v>
      </c>
    </row>
    <row r="134" spans="1:6">
      <c r="A134" s="1" t="s">
        <v>116</v>
      </c>
      <c r="B134" s="3">
        <v>47616</v>
      </c>
      <c r="C134">
        <v>100.0</v>
      </c>
      <c r="D134">
        <v>3.525</v>
      </c>
      <c r="E134">
        <v>0.0</v>
      </c>
      <c r="F134">
        <v>3.525</v>
      </c>
    </row>
    <row r="135" spans="1:6">
      <c r="A135" s="1" t="s">
        <v>116</v>
      </c>
      <c r="B135" s="3">
        <v>47800</v>
      </c>
      <c r="C135">
        <v>100.0</v>
      </c>
      <c r="D135">
        <v>3.525</v>
      </c>
      <c r="E135">
        <v>0.0</v>
      </c>
      <c r="F135">
        <v>3.525</v>
      </c>
    </row>
    <row r="136" spans="1:6">
      <c r="A136" s="1" t="s">
        <v>116</v>
      </c>
      <c r="B136" s="3">
        <v>47981</v>
      </c>
      <c r="C136">
        <v>100.0</v>
      </c>
      <c r="D136">
        <v>3.525</v>
      </c>
      <c r="E136">
        <v>0.0</v>
      </c>
      <c r="F136">
        <v>3.525</v>
      </c>
    </row>
    <row r="137" spans="1:6">
      <c r="A137" s="1" t="s">
        <v>116</v>
      </c>
      <c r="B137" s="3">
        <v>48165</v>
      </c>
      <c r="C137">
        <v>100.0</v>
      </c>
      <c r="D137">
        <v>3.525</v>
      </c>
      <c r="E137">
        <v>0.0</v>
      </c>
      <c r="F137">
        <v>3.525</v>
      </c>
    </row>
    <row r="138" spans="1:6">
      <c r="A138" s="1" t="s">
        <v>116</v>
      </c>
      <c r="B138" s="3">
        <v>48347</v>
      </c>
      <c r="C138">
        <v>100.0</v>
      </c>
      <c r="D138">
        <v>3.525</v>
      </c>
      <c r="E138">
        <v>0.0</v>
      </c>
      <c r="F138">
        <v>3.525</v>
      </c>
    </row>
    <row r="139" spans="1:6">
      <c r="A139" s="1" t="s">
        <v>116</v>
      </c>
      <c r="B139" s="3">
        <v>48533</v>
      </c>
      <c r="C139">
        <v>100.0</v>
      </c>
      <c r="D139">
        <v>3.525</v>
      </c>
      <c r="E139">
        <v>0.0</v>
      </c>
      <c r="F139">
        <v>3.525</v>
      </c>
    </row>
    <row r="140" spans="1:6">
      <c r="A140" s="1" t="s">
        <v>116</v>
      </c>
      <c r="B140" s="3">
        <v>48712</v>
      </c>
      <c r="C140">
        <v>100.0</v>
      </c>
      <c r="D140">
        <v>3.525</v>
      </c>
      <c r="E140">
        <v>0.0</v>
      </c>
      <c r="F140">
        <v>3.525</v>
      </c>
    </row>
    <row r="141" spans="1:6">
      <c r="A141" s="1" t="s">
        <v>116</v>
      </c>
      <c r="B141" s="3">
        <v>48897</v>
      </c>
      <c r="C141">
        <v>100.0</v>
      </c>
      <c r="D141">
        <v>3.525</v>
      </c>
      <c r="E141">
        <v>0.0</v>
      </c>
      <c r="F141">
        <v>3.525</v>
      </c>
    </row>
    <row r="142" spans="1:6">
      <c r="A142" s="1" t="s">
        <v>116</v>
      </c>
      <c r="B142" s="3">
        <v>49079</v>
      </c>
      <c r="C142">
        <v>66.67</v>
      </c>
      <c r="D142">
        <v>3.525</v>
      </c>
      <c r="E142">
        <v>33.33</v>
      </c>
      <c r="F142">
        <v>36.855</v>
      </c>
    </row>
    <row r="143" spans="1:6">
      <c r="A143" s="1" t="s">
        <v>116</v>
      </c>
      <c r="B143" s="3">
        <v>49261</v>
      </c>
      <c r="C143">
        <v>66.67</v>
      </c>
      <c r="D143">
        <v>2.350117</v>
      </c>
      <c r="E143">
        <v>0.0</v>
      </c>
      <c r="F143">
        <v>2.350117</v>
      </c>
    </row>
    <row r="144" spans="1:6">
      <c r="A144" s="1" t="s">
        <v>116</v>
      </c>
      <c r="B144" s="3">
        <v>49443</v>
      </c>
      <c r="C144">
        <v>33.34</v>
      </c>
      <c r="D144">
        <v>2.350117</v>
      </c>
      <c r="E144">
        <v>33.33</v>
      </c>
      <c r="F144">
        <v>35.680117</v>
      </c>
    </row>
    <row r="145" spans="1:6">
      <c r="A145" s="1" t="s">
        <v>116</v>
      </c>
      <c r="B145" s="3">
        <v>49626</v>
      </c>
      <c r="C145">
        <v>33.34</v>
      </c>
      <c r="D145">
        <v>1.175235</v>
      </c>
      <c r="E145">
        <v>0.0</v>
      </c>
      <c r="F145">
        <v>1.175235</v>
      </c>
    </row>
    <row r="146" spans="1:6">
      <c r="A146" s="1" t="s">
        <v>116</v>
      </c>
      <c r="B146" s="3">
        <v>49808</v>
      </c>
      <c r="C146">
        <v>0.0</v>
      </c>
      <c r="D146">
        <v>1.175235</v>
      </c>
      <c r="E146">
        <v>33.34</v>
      </c>
      <c r="F146">
        <v>34.515235</v>
      </c>
    </row>
    <row r="147" spans="1:6">
      <c r="A147" s="1" t="s">
        <v>282</v>
      </c>
      <c r="B147" s="3">
        <v>46076</v>
      </c>
      <c r="C147">
        <v>100.0</v>
      </c>
      <c r="D147">
        <v>3.024658</v>
      </c>
      <c r="E147">
        <v>0.0</v>
      </c>
      <c r="F147">
        <v>3.024658</v>
      </c>
    </row>
    <row r="148" spans="1:6">
      <c r="A148" s="1" t="s">
        <v>282</v>
      </c>
      <c r="B148" s="3">
        <v>46258</v>
      </c>
      <c r="C148">
        <v>0.0</v>
      </c>
      <c r="D148">
        <v>3.008219</v>
      </c>
      <c r="E148">
        <v>100.0</v>
      </c>
      <c r="F148">
        <v>103.008219</v>
      </c>
    </row>
    <row r="149" spans="1:6">
      <c r="A149" s="1" t="s">
        <v>174</v>
      </c>
      <c r="B149" s="3">
        <v>45757</v>
      </c>
      <c r="C149">
        <v>100.0</v>
      </c>
      <c r="D149">
        <v>3.875</v>
      </c>
      <c r="E149">
        <v>0.0</v>
      </c>
      <c r="F149">
        <v>3.875</v>
      </c>
    </row>
    <row r="150" spans="1:6">
      <c r="A150" s="1" t="s">
        <v>174</v>
      </c>
      <c r="B150" s="3">
        <v>45943</v>
      </c>
      <c r="C150">
        <v>100.0</v>
      </c>
      <c r="D150">
        <v>3.875</v>
      </c>
      <c r="E150">
        <v>0.0</v>
      </c>
      <c r="F150">
        <v>3.875</v>
      </c>
    </row>
    <row r="151" spans="1:6">
      <c r="A151" s="1" t="s">
        <v>174</v>
      </c>
      <c r="B151" s="3">
        <v>46122</v>
      </c>
      <c r="C151">
        <v>100.0</v>
      </c>
      <c r="D151">
        <v>3.875</v>
      </c>
      <c r="E151">
        <v>0.0</v>
      </c>
      <c r="F151">
        <v>3.875</v>
      </c>
    </row>
    <row r="152" spans="1:6">
      <c r="A152" s="1" t="s">
        <v>174</v>
      </c>
      <c r="B152" s="3">
        <v>46308</v>
      </c>
      <c r="C152">
        <v>100.0</v>
      </c>
      <c r="D152">
        <v>3.875</v>
      </c>
      <c r="E152">
        <v>0.0</v>
      </c>
      <c r="F152">
        <v>3.875</v>
      </c>
    </row>
    <row r="153" spans="1:6">
      <c r="A153" s="1" t="s">
        <v>174</v>
      </c>
      <c r="B153" s="3">
        <v>46489</v>
      </c>
      <c r="C153">
        <v>100.0</v>
      </c>
      <c r="D153">
        <v>3.875</v>
      </c>
      <c r="E153">
        <v>0.0</v>
      </c>
      <c r="F153">
        <v>3.875</v>
      </c>
    </row>
    <row r="154" spans="1:6">
      <c r="A154" s="1" t="s">
        <v>174</v>
      </c>
      <c r="B154" s="3">
        <v>46671</v>
      </c>
      <c r="C154">
        <v>100.0</v>
      </c>
      <c r="D154">
        <v>3.875</v>
      </c>
      <c r="E154">
        <v>0.0</v>
      </c>
      <c r="F154">
        <v>3.875</v>
      </c>
    </row>
    <row r="155" spans="1:6">
      <c r="A155" s="1" t="s">
        <v>174</v>
      </c>
      <c r="B155" s="3">
        <v>46853</v>
      </c>
      <c r="C155">
        <v>100.0</v>
      </c>
      <c r="D155">
        <v>3.875</v>
      </c>
      <c r="E155">
        <v>0.0</v>
      </c>
      <c r="F155">
        <v>3.875</v>
      </c>
    </row>
    <row r="156" spans="1:6">
      <c r="A156" s="1" t="s">
        <v>174</v>
      </c>
      <c r="B156" s="3">
        <v>47036</v>
      </c>
      <c r="C156">
        <v>0.0</v>
      </c>
      <c r="D156">
        <v>3.875</v>
      </c>
      <c r="E156">
        <v>100.0</v>
      </c>
      <c r="F156">
        <v>103.875</v>
      </c>
    </row>
    <row r="157" spans="1:6">
      <c r="A157" s="1" t="s">
        <v>280</v>
      </c>
      <c r="B157" s="3">
        <v>46071</v>
      </c>
      <c r="C157">
        <v>100.0</v>
      </c>
      <c r="D157">
        <v>3.150685</v>
      </c>
      <c r="E157">
        <v>0.0</v>
      </c>
      <c r="F157">
        <v>3.150685</v>
      </c>
    </row>
    <row r="158" spans="1:6">
      <c r="A158" s="1" t="s">
        <v>280</v>
      </c>
      <c r="B158" s="3">
        <v>46265</v>
      </c>
      <c r="C158">
        <v>0.0</v>
      </c>
      <c r="D158">
        <v>3.390411</v>
      </c>
      <c r="E158">
        <v>100.0</v>
      </c>
      <c r="F158">
        <v>103.390411</v>
      </c>
    </row>
    <row r="159" spans="1:6">
      <c r="A159" s="1" t="s">
        <v>138</v>
      </c>
      <c r="B159" s="3">
        <v>42705</v>
      </c>
      <c r="C159">
        <v>100.0</v>
      </c>
      <c r="D159">
        <v>3.75</v>
      </c>
      <c r="E159">
        <v>0.0</v>
      </c>
      <c r="F159">
        <v>3.75</v>
      </c>
    </row>
    <row r="160" spans="1:6">
      <c r="A160" s="1" t="s">
        <v>138</v>
      </c>
      <c r="B160" s="3">
        <v>42887</v>
      </c>
      <c r="C160">
        <v>100.0</v>
      </c>
      <c r="D160">
        <v>3.75</v>
      </c>
      <c r="E160">
        <v>0.0</v>
      </c>
      <c r="F160">
        <v>3.75</v>
      </c>
    </row>
    <row r="161" spans="1:6">
      <c r="A161" s="1" t="s">
        <v>138</v>
      </c>
      <c r="B161" s="3">
        <v>43070</v>
      </c>
      <c r="C161">
        <v>100.0</v>
      </c>
      <c r="D161">
        <v>3.75</v>
      </c>
      <c r="E161">
        <v>0.0</v>
      </c>
      <c r="F161">
        <v>3.75</v>
      </c>
    </row>
    <row r="162" spans="1:6">
      <c r="A162" s="1" t="s">
        <v>138</v>
      </c>
      <c r="B162" s="3">
        <v>43252</v>
      </c>
      <c r="C162">
        <v>100.0</v>
      </c>
      <c r="D162">
        <v>3.75</v>
      </c>
      <c r="E162">
        <v>0.0</v>
      </c>
      <c r="F162">
        <v>3.75</v>
      </c>
    </row>
    <row r="163" spans="1:6">
      <c r="A163" s="1" t="s">
        <v>138</v>
      </c>
      <c r="B163" s="3">
        <v>43437</v>
      </c>
      <c r="C163">
        <v>100.0</v>
      </c>
      <c r="D163">
        <v>3.75</v>
      </c>
      <c r="E163">
        <v>0.0</v>
      </c>
      <c r="F163">
        <v>3.75</v>
      </c>
    </row>
    <row r="164" spans="1:6">
      <c r="A164" s="1" t="s">
        <v>138</v>
      </c>
      <c r="B164" s="3">
        <v>43619</v>
      </c>
      <c r="C164">
        <v>100.0</v>
      </c>
      <c r="D164">
        <v>3.75</v>
      </c>
      <c r="E164">
        <v>0.0</v>
      </c>
      <c r="F164">
        <v>3.75</v>
      </c>
    </row>
    <row r="165" spans="1:6">
      <c r="A165" s="1" t="s">
        <v>138</v>
      </c>
      <c r="B165" s="3">
        <v>43801</v>
      </c>
      <c r="C165">
        <v>100.0</v>
      </c>
      <c r="D165">
        <v>3.75</v>
      </c>
      <c r="E165">
        <v>0.0</v>
      </c>
      <c r="F165">
        <v>3.75</v>
      </c>
    </row>
    <row r="166" spans="1:6">
      <c r="A166" s="1" t="s">
        <v>138</v>
      </c>
      <c r="B166" s="3">
        <v>43983</v>
      </c>
      <c r="C166">
        <v>100.0</v>
      </c>
      <c r="D166">
        <v>3.75</v>
      </c>
      <c r="E166">
        <v>0.0</v>
      </c>
      <c r="F166">
        <v>3.75</v>
      </c>
    </row>
    <row r="167" spans="1:6">
      <c r="A167" s="1" t="s">
        <v>138</v>
      </c>
      <c r="B167" s="3">
        <v>44166</v>
      </c>
      <c r="C167">
        <v>100.0</v>
      </c>
      <c r="D167">
        <v>3.75</v>
      </c>
      <c r="E167">
        <v>0.0</v>
      </c>
      <c r="F167">
        <v>3.75</v>
      </c>
    </row>
    <row r="168" spans="1:6">
      <c r="A168" s="1" t="s">
        <v>138</v>
      </c>
      <c r="B168" s="3">
        <v>44348</v>
      </c>
      <c r="C168">
        <v>100.0</v>
      </c>
      <c r="D168">
        <v>3.75</v>
      </c>
      <c r="E168">
        <v>0.0</v>
      </c>
      <c r="F168">
        <v>3.75</v>
      </c>
    </row>
    <row r="169" spans="1:6">
      <c r="A169" s="1" t="s">
        <v>138</v>
      </c>
      <c r="B169" s="3">
        <v>44531</v>
      </c>
      <c r="C169">
        <v>100.0</v>
      </c>
      <c r="D169">
        <v>3.75</v>
      </c>
      <c r="E169">
        <v>0.0</v>
      </c>
      <c r="F169">
        <v>3.75</v>
      </c>
    </row>
    <row r="170" spans="1:6">
      <c r="A170" s="1" t="s">
        <v>138</v>
      </c>
      <c r="B170" s="3">
        <v>44713</v>
      </c>
      <c r="C170">
        <v>100.0</v>
      </c>
      <c r="D170">
        <v>3.75</v>
      </c>
      <c r="E170">
        <v>0.0</v>
      </c>
      <c r="F170">
        <v>3.75</v>
      </c>
    </row>
    <row r="171" spans="1:6">
      <c r="A171" s="1" t="s">
        <v>138</v>
      </c>
      <c r="B171" s="3">
        <v>44896</v>
      </c>
      <c r="C171">
        <v>100.0</v>
      </c>
      <c r="D171">
        <v>3.75</v>
      </c>
      <c r="E171">
        <v>0.0</v>
      </c>
      <c r="F171">
        <v>3.75</v>
      </c>
    </row>
    <row r="172" spans="1:6">
      <c r="A172" s="1" t="s">
        <v>138</v>
      </c>
      <c r="B172" s="3">
        <v>45078</v>
      </c>
      <c r="C172">
        <v>100.0</v>
      </c>
      <c r="D172">
        <v>3.75</v>
      </c>
      <c r="E172">
        <v>0.0</v>
      </c>
      <c r="F172">
        <v>3.75</v>
      </c>
    </row>
    <row r="173" spans="1:6">
      <c r="A173" s="1" t="s">
        <v>138</v>
      </c>
      <c r="B173" s="3">
        <v>45261</v>
      </c>
      <c r="C173">
        <v>100.0</v>
      </c>
      <c r="D173">
        <v>3.75</v>
      </c>
      <c r="E173">
        <v>0.0</v>
      </c>
      <c r="F173">
        <v>3.75</v>
      </c>
    </row>
    <row r="174" spans="1:6">
      <c r="A174" s="1" t="s">
        <v>138</v>
      </c>
      <c r="B174" s="3">
        <v>45446</v>
      </c>
      <c r="C174">
        <v>100.0</v>
      </c>
      <c r="D174">
        <v>3.75</v>
      </c>
      <c r="E174">
        <v>0.0</v>
      </c>
      <c r="F174">
        <v>3.75</v>
      </c>
    </row>
    <row r="175" spans="1:6">
      <c r="A175" s="1" t="s">
        <v>138</v>
      </c>
      <c r="B175" s="3">
        <v>45628</v>
      </c>
      <c r="C175">
        <v>100.0</v>
      </c>
      <c r="D175">
        <v>3.75</v>
      </c>
      <c r="E175">
        <v>0.0</v>
      </c>
      <c r="F175">
        <v>3.75</v>
      </c>
    </row>
    <row r="176" spans="1:6">
      <c r="A176" s="1" t="s">
        <v>138</v>
      </c>
      <c r="B176" s="3">
        <v>45810</v>
      </c>
      <c r="C176">
        <v>66.67</v>
      </c>
      <c r="D176">
        <v>3.75</v>
      </c>
      <c r="E176">
        <v>33.33</v>
      </c>
      <c r="F176">
        <v>37.08</v>
      </c>
    </row>
    <row r="177" spans="1:6">
      <c r="A177" s="1" t="s">
        <v>138</v>
      </c>
      <c r="B177" s="3">
        <v>45992</v>
      </c>
      <c r="C177">
        <v>66.67</v>
      </c>
      <c r="D177">
        <v>2.500125</v>
      </c>
      <c r="E177">
        <v>0.0</v>
      </c>
      <c r="F177">
        <v>2.500125</v>
      </c>
    </row>
    <row r="178" spans="1:6">
      <c r="A178" s="1" t="s">
        <v>138</v>
      </c>
      <c r="B178" s="3">
        <v>46174</v>
      </c>
      <c r="C178">
        <v>33.34</v>
      </c>
      <c r="D178">
        <v>2.500125</v>
      </c>
      <c r="E178">
        <v>33.33</v>
      </c>
      <c r="F178">
        <v>35.830125</v>
      </c>
    </row>
    <row r="179" spans="1:6">
      <c r="A179" s="1" t="s">
        <v>138</v>
      </c>
      <c r="B179" s="3">
        <v>46357</v>
      </c>
      <c r="C179">
        <v>33.34</v>
      </c>
      <c r="D179">
        <v>1.25025</v>
      </c>
      <c r="E179">
        <v>0.0</v>
      </c>
      <c r="F179">
        <v>1.25025</v>
      </c>
    </row>
    <row r="180" spans="1:6">
      <c r="A180" s="1" t="s">
        <v>138</v>
      </c>
      <c r="B180" s="3">
        <v>46539</v>
      </c>
      <c r="C180">
        <v>0.0</v>
      </c>
      <c r="D180">
        <v>1.25025</v>
      </c>
      <c r="E180">
        <v>33.34</v>
      </c>
      <c r="F180">
        <v>34.59025</v>
      </c>
    </row>
    <row r="181" spans="1:6">
      <c r="A181" s="1" t="s">
        <v>300</v>
      </c>
      <c r="B181" s="3">
        <v>46177</v>
      </c>
      <c r="C181">
        <v>100.0</v>
      </c>
      <c r="D181">
        <v>4.113699</v>
      </c>
      <c r="E181">
        <v>0.0</v>
      </c>
      <c r="F181">
        <v>4.113699</v>
      </c>
    </row>
    <row r="182" spans="1:6">
      <c r="A182" s="1" t="s">
        <v>300</v>
      </c>
      <c r="B182" s="3">
        <v>46360</v>
      </c>
      <c r="C182">
        <v>100.0</v>
      </c>
      <c r="D182">
        <v>4.136301</v>
      </c>
      <c r="E182">
        <v>0.0</v>
      </c>
      <c r="F182">
        <v>4.136301</v>
      </c>
    </row>
    <row r="183" spans="1:6">
      <c r="A183" s="1" t="s">
        <v>300</v>
      </c>
      <c r="B183" s="3">
        <v>46542</v>
      </c>
      <c r="C183">
        <v>100.0</v>
      </c>
      <c r="D183">
        <v>4.113699</v>
      </c>
      <c r="E183">
        <v>0.0</v>
      </c>
      <c r="F183">
        <v>4.113699</v>
      </c>
    </row>
    <row r="184" spans="1:6">
      <c r="A184" s="1" t="s">
        <v>300</v>
      </c>
      <c r="B184" s="3">
        <v>46727</v>
      </c>
      <c r="C184">
        <v>100.0</v>
      </c>
      <c r="D184">
        <v>4.136301</v>
      </c>
      <c r="E184">
        <v>0.0</v>
      </c>
      <c r="F184">
        <v>4.136301</v>
      </c>
    </row>
    <row r="185" spans="1:6">
      <c r="A185" s="1" t="s">
        <v>300</v>
      </c>
      <c r="B185" s="3">
        <v>46909</v>
      </c>
      <c r="C185">
        <v>100.0</v>
      </c>
      <c r="D185">
        <v>4.136301</v>
      </c>
      <c r="E185">
        <v>0.0</v>
      </c>
      <c r="F185">
        <v>4.136301</v>
      </c>
    </row>
    <row r="186" spans="1:6">
      <c r="A186" s="1" t="s">
        <v>300</v>
      </c>
      <c r="B186" s="3">
        <v>47091</v>
      </c>
      <c r="C186">
        <v>100.0</v>
      </c>
      <c r="D186">
        <v>4.136301</v>
      </c>
      <c r="E186">
        <v>0.0</v>
      </c>
      <c r="F186">
        <v>4.136301</v>
      </c>
    </row>
    <row r="187" spans="1:6">
      <c r="A187" s="1" t="s">
        <v>300</v>
      </c>
      <c r="B187" s="3">
        <v>47273</v>
      </c>
      <c r="C187">
        <v>0.0</v>
      </c>
      <c r="D187">
        <v>4.113699</v>
      </c>
      <c r="E187">
        <v>100.0</v>
      </c>
      <c r="F187">
        <v>104.113699</v>
      </c>
    </row>
    <row r="188" spans="1:6">
      <c r="A188" s="1" t="s">
        <v>146</v>
      </c>
      <c r="B188" s="3">
        <v>42786</v>
      </c>
      <c r="C188">
        <v>100.0</v>
      </c>
      <c r="D188">
        <v>4.6875</v>
      </c>
      <c r="E188">
        <v>0.0</v>
      </c>
      <c r="F188">
        <v>4.6875</v>
      </c>
    </row>
    <row r="189" spans="1:6">
      <c r="A189" s="1" t="s">
        <v>146</v>
      </c>
      <c r="B189" s="3">
        <v>42965</v>
      </c>
      <c r="C189">
        <v>100.0</v>
      </c>
      <c r="D189">
        <v>4.6875</v>
      </c>
      <c r="E189">
        <v>0.0</v>
      </c>
      <c r="F189">
        <v>4.6875</v>
      </c>
    </row>
    <row r="190" spans="1:6">
      <c r="A190" s="1" t="s">
        <v>146</v>
      </c>
      <c r="B190" s="3">
        <v>43150</v>
      </c>
      <c r="C190">
        <v>100.0</v>
      </c>
      <c r="D190">
        <v>4.6875</v>
      </c>
      <c r="E190">
        <v>0.0</v>
      </c>
      <c r="F190">
        <v>4.6875</v>
      </c>
    </row>
    <row r="191" spans="1:6">
      <c r="A191" s="1" t="s">
        <v>146</v>
      </c>
      <c r="B191" s="3">
        <v>43333</v>
      </c>
      <c r="C191">
        <v>100.0</v>
      </c>
      <c r="D191">
        <v>4.6875</v>
      </c>
      <c r="E191">
        <v>0.0</v>
      </c>
      <c r="F191">
        <v>4.6875</v>
      </c>
    </row>
    <row r="192" spans="1:6">
      <c r="A192" s="1" t="s">
        <v>146</v>
      </c>
      <c r="B192" s="3">
        <v>43514</v>
      </c>
      <c r="C192">
        <v>100.0</v>
      </c>
      <c r="D192">
        <v>4.6875</v>
      </c>
      <c r="E192">
        <v>0.0</v>
      </c>
      <c r="F192">
        <v>4.6875</v>
      </c>
    </row>
    <row r="193" spans="1:6">
      <c r="A193" s="1" t="s">
        <v>146</v>
      </c>
      <c r="B193" s="3">
        <v>43697</v>
      </c>
      <c r="C193">
        <v>100.0</v>
      </c>
      <c r="D193">
        <v>4.6875</v>
      </c>
      <c r="E193">
        <v>0.0</v>
      </c>
      <c r="F193">
        <v>4.6875</v>
      </c>
    </row>
    <row r="194" spans="1:6">
      <c r="A194" s="1" t="s">
        <v>146</v>
      </c>
      <c r="B194" s="3">
        <v>43879</v>
      </c>
      <c r="C194">
        <v>100.0</v>
      </c>
      <c r="D194">
        <v>4.6875</v>
      </c>
      <c r="E194">
        <v>0.0</v>
      </c>
      <c r="F194">
        <v>4.6875</v>
      </c>
    </row>
    <row r="195" spans="1:6">
      <c r="A195" s="1" t="s">
        <v>146</v>
      </c>
      <c r="B195" s="3">
        <v>44061</v>
      </c>
      <c r="C195">
        <v>100.0</v>
      </c>
      <c r="D195">
        <v>0.0</v>
      </c>
      <c r="E195">
        <v>0.0</v>
      </c>
      <c r="F195">
        <v>0.0</v>
      </c>
    </row>
    <row r="196" spans="1:6">
      <c r="A196" s="1" t="s">
        <v>146</v>
      </c>
      <c r="B196" s="3">
        <v>44372</v>
      </c>
      <c r="C196">
        <v>100.0</v>
      </c>
      <c r="D196">
        <v>0.0</v>
      </c>
      <c r="E196">
        <v>0.0</v>
      </c>
      <c r="F196">
        <v>0.0</v>
      </c>
    </row>
    <row r="197" spans="1:6">
      <c r="A197" s="1" t="s">
        <v>146</v>
      </c>
      <c r="B197" s="3">
        <v>44426</v>
      </c>
      <c r="C197">
        <v>100.0</v>
      </c>
      <c r="D197">
        <v>0.515278</v>
      </c>
      <c r="E197">
        <v>0.0</v>
      </c>
      <c r="F197">
        <v>0.515278</v>
      </c>
    </row>
    <row r="198" spans="1:6">
      <c r="A198" s="1" t="s">
        <v>146</v>
      </c>
      <c r="B198" s="3">
        <v>44610</v>
      </c>
      <c r="C198">
        <v>100.0</v>
      </c>
      <c r="D198">
        <v>1.75</v>
      </c>
      <c r="E198">
        <v>0.0</v>
      </c>
      <c r="F198">
        <v>1.75</v>
      </c>
    </row>
    <row r="199" spans="1:6">
      <c r="A199" s="1" t="s">
        <v>146</v>
      </c>
      <c r="B199" s="3">
        <v>44791</v>
      </c>
      <c r="C199">
        <v>100.0</v>
      </c>
      <c r="D199">
        <v>2.375</v>
      </c>
      <c r="E199">
        <v>0.0</v>
      </c>
      <c r="F199">
        <v>2.375</v>
      </c>
    </row>
    <row r="200" spans="1:6">
      <c r="A200" s="1" t="s">
        <v>146</v>
      </c>
      <c r="B200" s="3">
        <v>44979</v>
      </c>
      <c r="C200">
        <v>100.0</v>
      </c>
      <c r="D200">
        <v>2.375</v>
      </c>
      <c r="E200">
        <v>0.0</v>
      </c>
      <c r="F200">
        <v>2.375</v>
      </c>
    </row>
    <row r="201" spans="1:6">
      <c r="A201" s="1" t="s">
        <v>146</v>
      </c>
      <c r="B201" s="3">
        <v>45156</v>
      </c>
      <c r="C201">
        <v>100.0</v>
      </c>
      <c r="D201">
        <v>3.25</v>
      </c>
      <c r="E201">
        <v>0.0</v>
      </c>
      <c r="F201">
        <v>3.25</v>
      </c>
    </row>
    <row r="202" spans="1:6">
      <c r="A202" s="1" t="s">
        <v>146</v>
      </c>
      <c r="B202" s="3">
        <v>45341</v>
      </c>
      <c r="C202">
        <v>88.88</v>
      </c>
      <c r="D202">
        <v>3.25</v>
      </c>
      <c r="E202">
        <v>11.12</v>
      </c>
      <c r="F202">
        <v>14.37</v>
      </c>
    </row>
    <row r="203" spans="1:6">
      <c r="A203" s="1" t="s">
        <v>146</v>
      </c>
      <c r="B203" s="3">
        <v>45523</v>
      </c>
      <c r="C203">
        <v>77.77</v>
      </c>
      <c r="D203">
        <v>3.6663</v>
      </c>
      <c r="E203">
        <v>11.11</v>
      </c>
      <c r="F203">
        <v>14.7763</v>
      </c>
    </row>
    <row r="204" spans="1:6">
      <c r="A204" s="1" t="s">
        <v>146</v>
      </c>
      <c r="B204" s="3">
        <v>45706</v>
      </c>
      <c r="C204">
        <v>66.66</v>
      </c>
      <c r="D204">
        <v>3.208013</v>
      </c>
      <c r="E204">
        <v>11.11</v>
      </c>
      <c r="F204">
        <v>14.318013</v>
      </c>
    </row>
    <row r="205" spans="1:6">
      <c r="A205" s="1" t="s">
        <v>146</v>
      </c>
      <c r="B205" s="3">
        <v>45887</v>
      </c>
      <c r="C205">
        <v>55.55</v>
      </c>
      <c r="D205">
        <v>2.749725</v>
      </c>
      <c r="E205">
        <v>11.11</v>
      </c>
      <c r="F205">
        <v>13.859725</v>
      </c>
    </row>
    <row r="206" spans="1:6">
      <c r="A206" s="1" t="s">
        <v>146</v>
      </c>
      <c r="B206" s="3">
        <v>46071</v>
      </c>
      <c r="C206">
        <v>44.44</v>
      </c>
      <c r="D206">
        <v>2.291438</v>
      </c>
      <c r="E206">
        <v>11.11</v>
      </c>
      <c r="F206">
        <v>13.401438</v>
      </c>
    </row>
    <row r="207" spans="1:6">
      <c r="A207" s="1" t="s">
        <v>146</v>
      </c>
      <c r="B207" s="3">
        <v>46252</v>
      </c>
      <c r="C207">
        <v>33.33</v>
      </c>
      <c r="D207">
        <v>1.83315</v>
      </c>
      <c r="E207">
        <v>11.11</v>
      </c>
      <c r="F207">
        <v>12.94315</v>
      </c>
    </row>
    <row r="208" spans="1:6">
      <c r="A208" s="1" t="s">
        <v>146</v>
      </c>
      <c r="B208" s="3">
        <v>46436</v>
      </c>
      <c r="C208">
        <v>22.22</v>
      </c>
      <c r="D208">
        <v>1.374863</v>
      </c>
      <c r="E208">
        <v>11.11</v>
      </c>
      <c r="F208">
        <v>12.484863</v>
      </c>
    </row>
    <row r="209" spans="1:6">
      <c r="A209" s="1" t="s">
        <v>146</v>
      </c>
      <c r="B209" s="3">
        <v>46617</v>
      </c>
      <c r="C209">
        <v>11.11</v>
      </c>
      <c r="D209">
        <v>0.916575</v>
      </c>
      <c r="E209">
        <v>11.11</v>
      </c>
      <c r="F209">
        <v>12.026575</v>
      </c>
    </row>
    <row r="210" spans="1:6">
      <c r="A210" s="1" t="s">
        <v>146</v>
      </c>
      <c r="B210" s="3">
        <v>46801</v>
      </c>
      <c r="C210">
        <v>0.0</v>
      </c>
      <c r="D210">
        <v>0.458288</v>
      </c>
      <c r="E210">
        <v>11.11</v>
      </c>
      <c r="F210">
        <v>11.568288</v>
      </c>
    </row>
    <row r="211" spans="1:6">
      <c r="A211" s="1" t="s">
        <v>284</v>
      </c>
      <c r="B211" s="3">
        <v>46176</v>
      </c>
      <c r="C211">
        <v>100.0</v>
      </c>
      <c r="D211">
        <v>3.989041</v>
      </c>
      <c r="E211">
        <v>0.0</v>
      </c>
      <c r="F211">
        <v>3.989041</v>
      </c>
    </row>
    <row r="212" spans="1:6">
      <c r="A212" s="1" t="s">
        <v>284</v>
      </c>
      <c r="B212" s="3">
        <v>46359</v>
      </c>
      <c r="C212">
        <v>100.0</v>
      </c>
      <c r="D212">
        <v>4.010959</v>
      </c>
      <c r="E212">
        <v>0.0</v>
      </c>
      <c r="F212">
        <v>4.010959</v>
      </c>
    </row>
    <row r="213" spans="1:6">
      <c r="A213" s="1" t="s">
        <v>284</v>
      </c>
      <c r="B213" s="3">
        <v>46541</v>
      </c>
      <c r="C213">
        <v>100.0</v>
      </c>
      <c r="D213">
        <v>3.989041</v>
      </c>
      <c r="E213">
        <v>0.0</v>
      </c>
      <c r="F213">
        <v>3.989041</v>
      </c>
    </row>
    <row r="214" spans="1:6">
      <c r="A214" s="1" t="s">
        <v>284</v>
      </c>
      <c r="B214" s="3">
        <v>46724</v>
      </c>
      <c r="C214">
        <v>100.0</v>
      </c>
      <c r="D214">
        <v>4.010959</v>
      </c>
      <c r="E214">
        <v>0.0</v>
      </c>
      <c r="F214">
        <v>4.010959</v>
      </c>
    </row>
    <row r="215" spans="1:6">
      <c r="A215" s="1" t="s">
        <v>284</v>
      </c>
      <c r="B215" s="3">
        <v>46909</v>
      </c>
      <c r="C215">
        <v>0.0</v>
      </c>
      <c r="D215">
        <v>4.054795</v>
      </c>
      <c r="E215">
        <v>100.0</v>
      </c>
      <c r="F215">
        <v>104.054795</v>
      </c>
    </row>
    <row r="216" spans="1:6">
      <c r="A216" s="1" t="s">
        <v>140</v>
      </c>
      <c r="B216" s="3">
        <v>42979</v>
      </c>
      <c r="C216">
        <v>100.0</v>
      </c>
      <c r="D216">
        <v>3.725</v>
      </c>
      <c r="E216">
        <v>0.0</v>
      </c>
      <c r="F216">
        <v>3.725</v>
      </c>
    </row>
    <row r="217" spans="1:6">
      <c r="A217" s="1" t="s">
        <v>140</v>
      </c>
      <c r="B217" s="3">
        <v>43160</v>
      </c>
      <c r="C217">
        <v>100.0</v>
      </c>
      <c r="D217">
        <v>3.725</v>
      </c>
      <c r="E217">
        <v>0.0</v>
      </c>
      <c r="F217">
        <v>3.725</v>
      </c>
    </row>
    <row r="218" spans="1:6">
      <c r="A218" s="1" t="s">
        <v>140</v>
      </c>
      <c r="B218" s="3">
        <v>43346</v>
      </c>
      <c r="C218">
        <v>100.0</v>
      </c>
      <c r="D218">
        <v>3.725</v>
      </c>
      <c r="E218">
        <v>0.0</v>
      </c>
      <c r="F218">
        <v>3.725</v>
      </c>
    </row>
    <row r="219" spans="1:6">
      <c r="A219" s="1" t="s">
        <v>140</v>
      </c>
      <c r="B219" s="3">
        <v>43525</v>
      </c>
      <c r="C219">
        <v>100.0</v>
      </c>
      <c r="D219">
        <v>3.725</v>
      </c>
      <c r="E219">
        <v>0.0</v>
      </c>
      <c r="F219">
        <v>3.725</v>
      </c>
    </row>
    <row r="220" spans="1:6">
      <c r="A220" s="1" t="s">
        <v>140</v>
      </c>
      <c r="B220" s="3">
        <v>43710</v>
      </c>
      <c r="C220">
        <v>100.0</v>
      </c>
      <c r="D220">
        <v>3.725</v>
      </c>
      <c r="E220">
        <v>0.0</v>
      </c>
      <c r="F220">
        <v>3.725</v>
      </c>
    </row>
    <row r="221" spans="1:6">
      <c r="A221" s="1" t="s">
        <v>140</v>
      </c>
      <c r="B221" s="3">
        <v>43892</v>
      </c>
      <c r="C221">
        <v>100.0</v>
      </c>
      <c r="D221">
        <v>3.725</v>
      </c>
      <c r="E221">
        <v>0.0</v>
      </c>
      <c r="F221">
        <v>3.725</v>
      </c>
    </row>
    <row r="222" spans="1:6">
      <c r="A222" s="1" t="s">
        <v>140</v>
      </c>
      <c r="B222" s="3">
        <v>44222</v>
      </c>
      <c r="C222">
        <v>100.0</v>
      </c>
      <c r="D222">
        <v>0.0</v>
      </c>
      <c r="E222">
        <v>0.0</v>
      </c>
      <c r="F222">
        <v>0.0</v>
      </c>
    </row>
    <row r="223" spans="1:6">
      <c r="A223" s="1" t="s">
        <v>140</v>
      </c>
      <c r="B223" s="3">
        <v>44348</v>
      </c>
      <c r="C223">
        <v>100.0</v>
      </c>
      <c r="D223">
        <v>1.041667</v>
      </c>
      <c r="E223">
        <v>0.0</v>
      </c>
      <c r="F223">
        <v>1.041667</v>
      </c>
    </row>
    <row r="224" spans="1:6">
      <c r="A224" s="1" t="s">
        <v>140</v>
      </c>
      <c r="B224" s="3">
        <v>44531</v>
      </c>
      <c r="C224">
        <v>100.0</v>
      </c>
      <c r="D224">
        <v>2.5</v>
      </c>
      <c r="E224">
        <v>0.0</v>
      </c>
      <c r="F224">
        <v>2.5</v>
      </c>
    </row>
    <row r="225" spans="1:6">
      <c r="A225" s="1" t="s">
        <v>140</v>
      </c>
      <c r="B225" s="3">
        <v>44713</v>
      </c>
      <c r="C225">
        <v>100.0</v>
      </c>
      <c r="D225">
        <v>2.5</v>
      </c>
      <c r="E225">
        <v>0.0</v>
      </c>
      <c r="F225">
        <v>2.5</v>
      </c>
    </row>
    <row r="226" spans="1:6">
      <c r="A226" s="1" t="s">
        <v>140</v>
      </c>
      <c r="B226" s="3">
        <v>44896</v>
      </c>
      <c r="C226">
        <v>100.0</v>
      </c>
      <c r="D226">
        <v>3.495</v>
      </c>
      <c r="E226">
        <v>0.0</v>
      </c>
      <c r="F226">
        <v>3.495</v>
      </c>
    </row>
    <row r="227" spans="1:6">
      <c r="A227" s="1" t="s">
        <v>140</v>
      </c>
      <c r="B227" s="3">
        <v>45078</v>
      </c>
      <c r="C227">
        <v>100.0</v>
      </c>
      <c r="D227">
        <v>3.495</v>
      </c>
      <c r="E227">
        <v>0.0</v>
      </c>
      <c r="F227">
        <v>3.495</v>
      </c>
    </row>
    <row r="228" spans="1:6">
      <c r="A228" s="1" t="s">
        <v>140</v>
      </c>
      <c r="B228" s="3">
        <v>45261</v>
      </c>
      <c r="C228">
        <v>100.0</v>
      </c>
      <c r="D228">
        <v>3.495</v>
      </c>
      <c r="E228">
        <v>0.0</v>
      </c>
      <c r="F228">
        <v>3.495</v>
      </c>
    </row>
    <row r="229" spans="1:6">
      <c r="A229" s="1" t="s">
        <v>140</v>
      </c>
      <c r="B229" s="3">
        <v>45446</v>
      </c>
      <c r="C229">
        <v>100.0</v>
      </c>
      <c r="D229">
        <v>3.495</v>
      </c>
      <c r="E229">
        <v>0.0</v>
      </c>
      <c r="F229">
        <v>3.495</v>
      </c>
    </row>
    <row r="230" spans="1:6">
      <c r="A230" s="1" t="s">
        <v>140</v>
      </c>
      <c r="B230" s="3">
        <v>45628</v>
      </c>
      <c r="C230">
        <v>100.0</v>
      </c>
      <c r="D230">
        <v>3.495</v>
      </c>
      <c r="E230">
        <v>0.0</v>
      </c>
      <c r="F230">
        <v>3.495</v>
      </c>
    </row>
    <row r="231" spans="1:6">
      <c r="A231" s="1" t="s">
        <v>140</v>
      </c>
      <c r="B231" s="3">
        <v>45810</v>
      </c>
      <c r="C231">
        <v>100.0</v>
      </c>
      <c r="D231">
        <v>3.495</v>
      </c>
      <c r="E231">
        <v>0.0</v>
      </c>
      <c r="F231">
        <v>3.495</v>
      </c>
    </row>
    <row r="232" spans="1:6">
      <c r="A232" s="1" t="s">
        <v>140</v>
      </c>
      <c r="B232" s="3">
        <v>45992</v>
      </c>
      <c r="C232">
        <v>75.0</v>
      </c>
      <c r="D232">
        <v>3.495</v>
      </c>
      <c r="E232">
        <v>25.0</v>
      </c>
      <c r="F232">
        <v>28.495</v>
      </c>
    </row>
    <row r="233" spans="1:6">
      <c r="A233" s="1" t="s">
        <v>140</v>
      </c>
      <c r="B233" s="3">
        <v>46174</v>
      </c>
      <c r="C233">
        <v>50.0</v>
      </c>
      <c r="D233">
        <v>2.62125</v>
      </c>
      <c r="E233">
        <v>25.0</v>
      </c>
      <c r="F233">
        <v>27.62125</v>
      </c>
    </row>
    <row r="234" spans="1:6">
      <c r="A234" s="1" t="s">
        <v>140</v>
      </c>
      <c r="B234" s="3">
        <v>46357</v>
      </c>
      <c r="C234">
        <v>25.0</v>
      </c>
      <c r="D234">
        <v>1.7475</v>
      </c>
      <c r="E234">
        <v>25.0</v>
      </c>
      <c r="F234">
        <v>26.7475</v>
      </c>
    </row>
    <row r="235" spans="1:6">
      <c r="A235" s="1" t="s">
        <v>140</v>
      </c>
      <c r="B235" s="3">
        <v>46539</v>
      </c>
      <c r="C235">
        <v>0.0</v>
      </c>
      <c r="D235">
        <v>0.87375</v>
      </c>
      <c r="E235">
        <v>25.0</v>
      </c>
      <c r="F235">
        <v>25.87375</v>
      </c>
    </row>
    <row r="236" spans="1:6">
      <c r="A236" s="1" t="s">
        <v>152</v>
      </c>
      <c r="B236" s="3">
        <v>43132</v>
      </c>
      <c r="C236">
        <v>100.0</v>
      </c>
      <c r="D236">
        <v>4.0375</v>
      </c>
      <c r="E236">
        <v>0.0</v>
      </c>
      <c r="F236">
        <v>4.0375</v>
      </c>
    </row>
    <row r="237" spans="1:6">
      <c r="A237" s="1" t="s">
        <v>152</v>
      </c>
      <c r="B237" s="3">
        <v>43313</v>
      </c>
      <c r="C237">
        <v>100.0</v>
      </c>
      <c r="D237">
        <v>3.5625</v>
      </c>
      <c r="E237">
        <v>0.0</v>
      </c>
      <c r="F237">
        <v>3.5625</v>
      </c>
    </row>
    <row r="238" spans="1:6">
      <c r="A238" s="1" t="s">
        <v>152</v>
      </c>
      <c r="B238" s="3">
        <v>43497</v>
      </c>
      <c r="C238">
        <v>100.0</v>
      </c>
      <c r="D238">
        <v>3.5625</v>
      </c>
      <c r="E238">
        <v>0.0</v>
      </c>
      <c r="F238">
        <v>3.5625</v>
      </c>
    </row>
    <row r="239" spans="1:6">
      <c r="A239" s="1" t="s">
        <v>152</v>
      </c>
      <c r="B239" s="3">
        <v>43678</v>
      </c>
      <c r="C239">
        <v>100.0</v>
      </c>
      <c r="D239">
        <v>3.5625</v>
      </c>
      <c r="E239">
        <v>0.0</v>
      </c>
      <c r="F239">
        <v>3.5625</v>
      </c>
    </row>
    <row r="240" spans="1:6">
      <c r="A240" s="1" t="s">
        <v>152</v>
      </c>
      <c r="B240" s="3">
        <v>43864</v>
      </c>
      <c r="C240">
        <v>100.0</v>
      </c>
      <c r="D240">
        <v>3.5625</v>
      </c>
      <c r="E240">
        <v>0.0</v>
      </c>
      <c r="F240">
        <v>3.5625</v>
      </c>
    </row>
    <row r="241" spans="1:6">
      <c r="A241" s="1" t="s">
        <v>152</v>
      </c>
      <c r="B241" s="3">
        <v>44046</v>
      </c>
      <c r="C241">
        <v>100.0</v>
      </c>
      <c r="D241">
        <v>3.5625</v>
      </c>
      <c r="E241">
        <v>0.0</v>
      </c>
      <c r="F241">
        <v>3.5625</v>
      </c>
    </row>
    <row r="242" spans="1:6">
      <c r="A242" s="1" t="s">
        <v>152</v>
      </c>
      <c r="B242" s="3">
        <v>44222</v>
      </c>
      <c r="C242">
        <v>100.0</v>
      </c>
      <c r="D242">
        <v>0.0</v>
      </c>
      <c r="E242">
        <v>0.0</v>
      </c>
      <c r="F242">
        <v>0.0</v>
      </c>
    </row>
    <row r="243" spans="1:6">
      <c r="A243" s="1" t="s">
        <v>152</v>
      </c>
      <c r="B243" s="3">
        <v>44228</v>
      </c>
      <c r="C243">
        <v>100.0</v>
      </c>
      <c r="D243">
        <v>0.041667</v>
      </c>
      <c r="E243">
        <v>0.0</v>
      </c>
      <c r="F243">
        <v>0.041667</v>
      </c>
    </row>
    <row r="244" spans="1:6">
      <c r="A244" s="1" t="s">
        <v>152</v>
      </c>
      <c r="B244" s="3">
        <v>44410</v>
      </c>
      <c r="C244">
        <v>100.0</v>
      </c>
      <c r="D244">
        <v>1.5</v>
      </c>
      <c r="E244">
        <v>0.0</v>
      </c>
      <c r="F244">
        <v>1.5</v>
      </c>
    </row>
    <row r="245" spans="1:6">
      <c r="A245" s="1" t="s">
        <v>152</v>
      </c>
      <c r="B245" s="3">
        <v>44593</v>
      </c>
      <c r="C245">
        <v>100.0</v>
      </c>
      <c r="D245">
        <v>2.5</v>
      </c>
      <c r="E245">
        <v>0.0</v>
      </c>
      <c r="F245">
        <v>2.5</v>
      </c>
    </row>
    <row r="246" spans="1:6">
      <c r="A246" s="1" t="s">
        <v>152</v>
      </c>
      <c r="B246" s="3">
        <v>44774</v>
      </c>
      <c r="C246">
        <v>100.0</v>
      </c>
      <c r="D246">
        <v>2.5</v>
      </c>
      <c r="E246">
        <v>0.0</v>
      </c>
      <c r="F246">
        <v>2.5</v>
      </c>
    </row>
    <row r="247" spans="1:6">
      <c r="A247" s="1" t="s">
        <v>152</v>
      </c>
      <c r="B247" s="3">
        <v>44958</v>
      </c>
      <c r="C247">
        <v>100.0</v>
      </c>
      <c r="D247">
        <v>3.4375</v>
      </c>
      <c r="E247">
        <v>0.0</v>
      </c>
      <c r="F247">
        <v>3.4375</v>
      </c>
    </row>
    <row r="248" spans="1:6">
      <c r="A248" s="1" t="s">
        <v>152</v>
      </c>
      <c r="B248" s="3">
        <v>45139</v>
      </c>
      <c r="C248">
        <v>100.0</v>
      </c>
      <c r="D248">
        <v>3.4375</v>
      </c>
      <c r="E248">
        <v>0.0</v>
      </c>
      <c r="F248">
        <v>3.4375</v>
      </c>
    </row>
    <row r="249" spans="1:6">
      <c r="A249" s="1" t="s">
        <v>152</v>
      </c>
      <c r="B249" s="3">
        <v>45323</v>
      </c>
      <c r="C249">
        <v>100.0</v>
      </c>
      <c r="D249">
        <v>3.4375</v>
      </c>
      <c r="E249">
        <v>0.0</v>
      </c>
      <c r="F249">
        <v>3.4375</v>
      </c>
    </row>
    <row r="250" spans="1:6">
      <c r="A250" s="1" t="s">
        <v>152</v>
      </c>
      <c r="B250" s="3">
        <v>45505</v>
      </c>
      <c r="C250">
        <v>100.0</v>
      </c>
      <c r="D250">
        <v>3.4375</v>
      </c>
      <c r="E250">
        <v>0.0</v>
      </c>
      <c r="F250">
        <v>3.4375</v>
      </c>
    </row>
    <row r="251" spans="1:6">
      <c r="A251" s="1" t="s">
        <v>152</v>
      </c>
      <c r="B251" s="3">
        <v>45691</v>
      </c>
      <c r="C251">
        <v>100.0</v>
      </c>
      <c r="D251">
        <v>3.4375</v>
      </c>
      <c r="E251">
        <v>0.0</v>
      </c>
      <c r="F251">
        <v>3.4375</v>
      </c>
    </row>
    <row r="252" spans="1:6">
      <c r="A252" s="1" t="s">
        <v>152</v>
      </c>
      <c r="B252" s="3">
        <v>45870</v>
      </c>
      <c r="C252">
        <v>100.0</v>
      </c>
      <c r="D252">
        <v>3.4375</v>
      </c>
      <c r="E252">
        <v>0.0</v>
      </c>
      <c r="F252">
        <v>3.4375</v>
      </c>
    </row>
    <row r="253" spans="1:6">
      <c r="A253" s="1" t="s">
        <v>152</v>
      </c>
      <c r="B253" s="3">
        <v>46055</v>
      </c>
      <c r="C253">
        <v>100.0</v>
      </c>
      <c r="D253">
        <v>3.4375</v>
      </c>
      <c r="E253">
        <v>0.0</v>
      </c>
      <c r="F253">
        <v>3.4375</v>
      </c>
    </row>
    <row r="254" spans="1:6">
      <c r="A254" s="1" t="s">
        <v>152</v>
      </c>
      <c r="B254" s="3">
        <v>46237</v>
      </c>
      <c r="C254">
        <v>100.0</v>
      </c>
      <c r="D254">
        <v>3.4375</v>
      </c>
      <c r="E254">
        <v>0.0</v>
      </c>
      <c r="F254">
        <v>3.4375</v>
      </c>
    </row>
    <row r="255" spans="1:6">
      <c r="A255" s="1" t="s">
        <v>152</v>
      </c>
      <c r="B255" s="3">
        <v>46419</v>
      </c>
      <c r="C255">
        <v>100.0</v>
      </c>
      <c r="D255">
        <v>3.4375</v>
      </c>
      <c r="E255">
        <v>0.0</v>
      </c>
      <c r="F255">
        <v>3.4375</v>
      </c>
    </row>
    <row r="256" spans="1:6">
      <c r="A256" s="1" t="s">
        <v>152</v>
      </c>
      <c r="B256" s="3">
        <v>46601</v>
      </c>
      <c r="C256">
        <v>75.0</v>
      </c>
      <c r="D256">
        <v>3.4375</v>
      </c>
      <c r="E256">
        <v>25.0</v>
      </c>
      <c r="F256">
        <v>28.4375</v>
      </c>
    </row>
    <row r="257" spans="1:6">
      <c r="A257" s="1" t="s">
        <v>152</v>
      </c>
      <c r="B257" s="3">
        <v>46784</v>
      </c>
      <c r="C257">
        <v>50.0</v>
      </c>
      <c r="D257">
        <v>2.578125</v>
      </c>
      <c r="E257">
        <v>25.0</v>
      </c>
      <c r="F257">
        <v>27.578125</v>
      </c>
    </row>
    <row r="258" spans="1:6">
      <c r="A258" s="1" t="s">
        <v>152</v>
      </c>
      <c r="B258" s="3">
        <v>46966</v>
      </c>
      <c r="C258">
        <v>25.0</v>
      </c>
      <c r="D258">
        <v>1.71875</v>
      </c>
      <c r="E258">
        <v>25.0</v>
      </c>
      <c r="F258">
        <v>26.71875</v>
      </c>
    </row>
    <row r="259" spans="1:6">
      <c r="A259" s="1" t="s">
        <v>152</v>
      </c>
      <c r="B259" s="3">
        <v>47150</v>
      </c>
      <c r="C259">
        <v>0.0</v>
      </c>
      <c r="D259">
        <v>0.859375</v>
      </c>
      <c r="E259">
        <v>25.0</v>
      </c>
      <c r="F259">
        <v>25.859375</v>
      </c>
    </row>
    <row r="260" spans="1:6">
      <c r="A260" s="1" t="s">
        <v>120</v>
      </c>
      <c r="B260" s="3">
        <v>46024</v>
      </c>
      <c r="C260">
        <v>100.0</v>
      </c>
      <c r="D260">
        <v>4.875</v>
      </c>
      <c r="E260">
        <v>0.0</v>
      </c>
      <c r="F260">
        <v>4.875</v>
      </c>
    </row>
    <row r="261" spans="1:6">
      <c r="A261" s="1" t="s">
        <v>120</v>
      </c>
      <c r="B261" s="3">
        <v>46205</v>
      </c>
      <c r="C261">
        <v>100.0</v>
      </c>
      <c r="D261">
        <v>4.875</v>
      </c>
      <c r="E261">
        <v>0.0</v>
      </c>
      <c r="F261">
        <v>4.875</v>
      </c>
    </row>
    <row r="262" spans="1:6">
      <c r="A262" s="1" t="s">
        <v>120</v>
      </c>
      <c r="B262" s="3">
        <v>46391</v>
      </c>
      <c r="C262">
        <v>100.0</v>
      </c>
      <c r="D262">
        <v>4.875</v>
      </c>
      <c r="E262">
        <v>0.0</v>
      </c>
      <c r="F262">
        <v>4.875</v>
      </c>
    </row>
    <row r="263" spans="1:6">
      <c r="A263" s="1" t="s">
        <v>120</v>
      </c>
      <c r="B263" s="3">
        <v>46570</v>
      </c>
      <c r="C263">
        <v>100.0</v>
      </c>
      <c r="D263">
        <v>4.875</v>
      </c>
      <c r="E263">
        <v>0.0</v>
      </c>
      <c r="F263">
        <v>4.875</v>
      </c>
    </row>
    <row r="264" spans="1:6">
      <c r="A264" s="1" t="s">
        <v>120</v>
      </c>
      <c r="B264" s="3">
        <v>46755</v>
      </c>
      <c r="C264">
        <v>100.0</v>
      </c>
      <c r="D264">
        <v>4.875</v>
      </c>
      <c r="E264">
        <v>0.0</v>
      </c>
      <c r="F264">
        <v>4.875</v>
      </c>
    </row>
    <row r="265" spans="1:6">
      <c r="A265" s="1" t="s">
        <v>120</v>
      </c>
      <c r="B265" s="3">
        <v>46937</v>
      </c>
      <c r="C265">
        <v>100.0</v>
      </c>
      <c r="D265">
        <v>4.875</v>
      </c>
      <c r="E265">
        <v>0.0</v>
      </c>
      <c r="F265">
        <v>4.875</v>
      </c>
    </row>
    <row r="266" spans="1:6">
      <c r="A266" s="1" t="s">
        <v>120</v>
      </c>
      <c r="B266" s="3">
        <v>47120</v>
      </c>
      <c r="C266">
        <v>100.0</v>
      </c>
      <c r="D266">
        <v>4.875</v>
      </c>
      <c r="E266">
        <v>0.0</v>
      </c>
      <c r="F266">
        <v>4.875</v>
      </c>
    </row>
    <row r="267" spans="1:6">
      <c r="A267" s="1" t="s">
        <v>120</v>
      </c>
      <c r="B267" s="3">
        <v>47301</v>
      </c>
      <c r="C267">
        <v>100.0</v>
      </c>
      <c r="D267">
        <v>4.875</v>
      </c>
      <c r="E267">
        <v>0.0</v>
      </c>
      <c r="F267">
        <v>4.875</v>
      </c>
    </row>
    <row r="268" spans="1:6">
      <c r="A268" s="1" t="s">
        <v>120</v>
      </c>
      <c r="B268" s="3">
        <v>47485</v>
      </c>
      <c r="C268">
        <v>100.0</v>
      </c>
      <c r="D268">
        <v>4.875</v>
      </c>
      <c r="E268">
        <v>0.0</v>
      </c>
      <c r="F268">
        <v>4.875</v>
      </c>
    </row>
    <row r="269" spans="1:6">
      <c r="A269" s="1" t="s">
        <v>120</v>
      </c>
      <c r="B269" s="3">
        <v>47666</v>
      </c>
      <c r="C269">
        <v>67.0</v>
      </c>
      <c r="D269">
        <v>4.875</v>
      </c>
      <c r="E269">
        <v>33.0</v>
      </c>
      <c r="F269">
        <v>37.875</v>
      </c>
    </row>
    <row r="270" spans="1:6">
      <c r="A270" s="1" t="s">
        <v>120</v>
      </c>
      <c r="B270" s="3">
        <v>47850</v>
      </c>
      <c r="C270">
        <v>67.0</v>
      </c>
      <c r="D270">
        <v>3.26625</v>
      </c>
      <c r="E270">
        <v>0.0</v>
      </c>
      <c r="F270">
        <v>3.26625</v>
      </c>
    </row>
    <row r="271" spans="1:6">
      <c r="A271" s="1" t="s">
        <v>120</v>
      </c>
      <c r="B271" s="3">
        <v>48031</v>
      </c>
      <c r="C271">
        <v>34.0</v>
      </c>
      <c r="D271">
        <v>3.26625</v>
      </c>
      <c r="E271">
        <v>33.0</v>
      </c>
      <c r="F271">
        <v>36.26625</v>
      </c>
    </row>
    <row r="272" spans="1:6">
      <c r="A272" s="1" t="s">
        <v>120</v>
      </c>
      <c r="B272" s="3">
        <v>48215</v>
      </c>
      <c r="C272">
        <v>34.0</v>
      </c>
      <c r="D272">
        <v>1.6575</v>
      </c>
      <c r="E272">
        <v>0.0</v>
      </c>
      <c r="F272">
        <v>1.6575</v>
      </c>
    </row>
    <row r="273" spans="1:6">
      <c r="A273" s="1" t="s">
        <v>120</v>
      </c>
      <c r="B273" s="3">
        <v>48397</v>
      </c>
      <c r="C273">
        <v>0.0</v>
      </c>
      <c r="D273">
        <v>1.6575</v>
      </c>
      <c r="E273">
        <v>34.0</v>
      </c>
      <c r="F273">
        <v>35.6575</v>
      </c>
    </row>
    <row r="274" spans="1:6">
      <c r="A274" s="1" t="s">
        <v>122</v>
      </c>
      <c r="B274" s="3">
        <v>46237</v>
      </c>
      <c r="C274">
        <v>100.0</v>
      </c>
      <c r="D274">
        <v>4.3</v>
      </c>
      <c r="E274">
        <v>0.0</v>
      </c>
      <c r="F274">
        <v>4.3</v>
      </c>
    </row>
    <row r="275" spans="1:6">
      <c r="A275" s="1" t="s">
        <v>122</v>
      </c>
      <c r="B275" s="3">
        <v>46421</v>
      </c>
      <c r="C275">
        <v>100.0</v>
      </c>
      <c r="D275">
        <v>4.3</v>
      </c>
      <c r="E275">
        <v>0.0</v>
      </c>
      <c r="F275">
        <v>4.3</v>
      </c>
    </row>
    <row r="276" spans="1:6">
      <c r="A276" s="1" t="s">
        <v>122</v>
      </c>
      <c r="B276" s="3">
        <v>46602</v>
      </c>
      <c r="C276">
        <v>100.0</v>
      </c>
      <c r="D276">
        <v>4.3</v>
      </c>
      <c r="E276">
        <v>0.0</v>
      </c>
      <c r="F276">
        <v>4.3</v>
      </c>
    </row>
    <row r="277" spans="1:6">
      <c r="A277" s="1" t="s">
        <v>122</v>
      </c>
      <c r="B277" s="3">
        <v>46786</v>
      </c>
      <c r="C277">
        <v>100.0</v>
      </c>
      <c r="D277">
        <v>4.3</v>
      </c>
      <c r="E277">
        <v>0.0</v>
      </c>
      <c r="F277">
        <v>4.3</v>
      </c>
    </row>
    <row r="278" spans="1:6">
      <c r="A278" s="1" t="s">
        <v>122</v>
      </c>
      <c r="B278" s="3">
        <v>46968</v>
      </c>
      <c r="C278">
        <v>100.0</v>
      </c>
      <c r="D278">
        <v>4.3</v>
      </c>
      <c r="E278">
        <v>0.0</v>
      </c>
      <c r="F278">
        <v>4.3</v>
      </c>
    </row>
    <row r="279" spans="1:6">
      <c r="A279" s="1" t="s">
        <v>122</v>
      </c>
      <c r="B279" s="3">
        <v>47154</v>
      </c>
      <c r="C279">
        <v>100.0</v>
      </c>
      <c r="D279">
        <v>4.3</v>
      </c>
      <c r="E279">
        <v>0.0</v>
      </c>
      <c r="F279">
        <v>4.3</v>
      </c>
    </row>
    <row r="280" spans="1:6">
      <c r="A280" s="1" t="s">
        <v>122</v>
      </c>
      <c r="B280" s="3">
        <v>47333</v>
      </c>
      <c r="C280">
        <v>100.0</v>
      </c>
      <c r="D280">
        <v>4.3</v>
      </c>
      <c r="E280">
        <v>0.0</v>
      </c>
      <c r="F280">
        <v>4.3</v>
      </c>
    </row>
    <row r="281" spans="1:6">
      <c r="A281" s="1" t="s">
        <v>122</v>
      </c>
      <c r="B281" s="3">
        <v>47518</v>
      </c>
      <c r="C281">
        <v>100.0</v>
      </c>
      <c r="D281">
        <v>4.3</v>
      </c>
      <c r="E281">
        <v>0.0</v>
      </c>
      <c r="F281">
        <v>4.3</v>
      </c>
    </row>
    <row r="282" spans="1:6">
      <c r="A282" s="1" t="s">
        <v>122</v>
      </c>
      <c r="B282" s="3">
        <v>47700</v>
      </c>
      <c r="C282">
        <v>100.0</v>
      </c>
      <c r="D282">
        <v>4.3</v>
      </c>
      <c r="E282">
        <v>0.0</v>
      </c>
      <c r="F282">
        <v>4.3</v>
      </c>
    </row>
    <row r="283" spans="1:6">
      <c r="A283" s="1" t="s">
        <v>122</v>
      </c>
      <c r="B283" s="3">
        <v>47882</v>
      </c>
      <c r="C283">
        <v>100.0</v>
      </c>
      <c r="D283">
        <v>4.3</v>
      </c>
      <c r="E283">
        <v>0.0</v>
      </c>
      <c r="F283">
        <v>4.3</v>
      </c>
    </row>
    <row r="284" spans="1:6">
      <c r="A284" s="1" t="s">
        <v>122</v>
      </c>
      <c r="B284" s="3">
        <v>48064</v>
      </c>
      <c r="C284">
        <v>100.0</v>
      </c>
      <c r="D284">
        <v>4.3</v>
      </c>
      <c r="E284">
        <v>0.0</v>
      </c>
      <c r="F284">
        <v>4.3</v>
      </c>
    </row>
    <row r="285" spans="1:6">
      <c r="A285" s="1" t="s">
        <v>122</v>
      </c>
      <c r="B285" s="3">
        <v>48247</v>
      </c>
      <c r="C285">
        <v>100.0</v>
      </c>
      <c r="D285">
        <v>4.3</v>
      </c>
      <c r="E285">
        <v>0.0</v>
      </c>
      <c r="F285">
        <v>4.3</v>
      </c>
    </row>
    <row r="286" spans="1:6">
      <c r="A286" s="1" t="s">
        <v>122</v>
      </c>
      <c r="B286" s="3">
        <v>48429</v>
      </c>
      <c r="C286">
        <v>100.0</v>
      </c>
      <c r="D286">
        <v>4.3</v>
      </c>
      <c r="E286">
        <v>0.0</v>
      </c>
      <c r="F286">
        <v>4.3</v>
      </c>
    </row>
    <row r="287" spans="1:6">
      <c r="A287" s="1" t="s">
        <v>122</v>
      </c>
      <c r="B287" s="3">
        <v>48613</v>
      </c>
      <c r="C287">
        <v>67.0</v>
      </c>
      <c r="D287">
        <v>4.3</v>
      </c>
      <c r="E287">
        <v>33.0</v>
      </c>
      <c r="F287">
        <v>37.3</v>
      </c>
    </row>
    <row r="288" spans="1:6">
      <c r="A288" s="1" t="s">
        <v>122</v>
      </c>
      <c r="B288" s="3">
        <v>48794</v>
      </c>
      <c r="C288">
        <v>67.0</v>
      </c>
      <c r="D288">
        <v>2.881</v>
      </c>
      <c r="E288">
        <v>0.0</v>
      </c>
      <c r="F288">
        <v>2.881</v>
      </c>
    </row>
    <row r="289" spans="1:6">
      <c r="A289" s="1" t="s">
        <v>122</v>
      </c>
      <c r="B289" s="3">
        <v>48978</v>
      </c>
      <c r="C289">
        <v>34.0</v>
      </c>
      <c r="D289">
        <v>2.881</v>
      </c>
      <c r="E289">
        <v>33.0</v>
      </c>
      <c r="F289">
        <v>35.881</v>
      </c>
    </row>
    <row r="290" spans="1:6">
      <c r="A290" s="1" t="s">
        <v>122</v>
      </c>
      <c r="B290" s="3">
        <v>49159</v>
      </c>
      <c r="C290">
        <v>34.0</v>
      </c>
      <c r="D290">
        <v>1.462</v>
      </c>
      <c r="E290">
        <v>0.0</v>
      </c>
      <c r="F290">
        <v>1.462</v>
      </c>
    </row>
    <row r="291" spans="1:6">
      <c r="A291" s="1" t="s">
        <v>122</v>
      </c>
      <c r="B291" s="3">
        <v>49345</v>
      </c>
      <c r="C291">
        <v>0.0</v>
      </c>
      <c r="D291">
        <v>1.462</v>
      </c>
      <c r="E291">
        <v>34.0</v>
      </c>
      <c r="F291">
        <v>35.462</v>
      </c>
    </row>
    <row r="292" spans="1:6">
      <c r="A292" s="1" t="s">
        <v>180</v>
      </c>
      <c r="B292" s="3">
        <v>46170</v>
      </c>
      <c r="C292">
        <v>100.0</v>
      </c>
      <c r="D292">
        <v>5.9375</v>
      </c>
      <c r="E292">
        <v>0.0</v>
      </c>
      <c r="F292">
        <v>5.9375</v>
      </c>
    </row>
    <row r="293" spans="1:6">
      <c r="A293" s="1" t="s">
        <v>180</v>
      </c>
      <c r="B293" s="3">
        <v>46356</v>
      </c>
      <c r="C293">
        <v>100.0</v>
      </c>
      <c r="D293">
        <v>5.9375</v>
      </c>
      <c r="E293">
        <v>0.0</v>
      </c>
      <c r="F293">
        <v>5.9375</v>
      </c>
    </row>
    <row r="294" spans="1:6">
      <c r="A294" s="1" t="s">
        <v>180</v>
      </c>
      <c r="B294" s="3">
        <v>46535</v>
      </c>
      <c r="C294">
        <v>100.0</v>
      </c>
      <c r="D294">
        <v>5.9375</v>
      </c>
      <c r="E294">
        <v>0.0</v>
      </c>
      <c r="F294">
        <v>5.9375</v>
      </c>
    </row>
    <row r="295" spans="1:6">
      <c r="A295" s="1" t="s">
        <v>180</v>
      </c>
      <c r="B295" s="3">
        <v>46720</v>
      </c>
      <c r="C295">
        <v>100.0</v>
      </c>
      <c r="D295">
        <v>5.9375</v>
      </c>
      <c r="E295">
        <v>0.0</v>
      </c>
      <c r="F295">
        <v>5.9375</v>
      </c>
    </row>
    <row r="296" spans="1:6">
      <c r="A296" s="1" t="s">
        <v>180</v>
      </c>
      <c r="B296" s="3">
        <v>46902</v>
      </c>
      <c r="C296">
        <v>100.0</v>
      </c>
      <c r="D296">
        <v>5.9375</v>
      </c>
      <c r="E296">
        <v>0.0</v>
      </c>
      <c r="F296">
        <v>5.9375</v>
      </c>
    </row>
    <row r="297" spans="1:6">
      <c r="A297" s="1" t="s">
        <v>180</v>
      </c>
      <c r="B297" s="3">
        <v>47085</v>
      </c>
      <c r="C297">
        <v>100.0</v>
      </c>
      <c r="D297">
        <v>5.9375</v>
      </c>
      <c r="E297">
        <v>0.0</v>
      </c>
      <c r="F297">
        <v>5.9375</v>
      </c>
    </row>
    <row r="298" spans="1:6">
      <c r="A298" s="1" t="s">
        <v>180</v>
      </c>
      <c r="B298" s="3">
        <v>47266</v>
      </c>
      <c r="C298">
        <v>100.0</v>
      </c>
      <c r="D298">
        <v>5.9375</v>
      </c>
      <c r="E298">
        <v>0.0</v>
      </c>
      <c r="F298">
        <v>5.9375</v>
      </c>
    </row>
    <row r="299" spans="1:6">
      <c r="A299" s="1" t="s">
        <v>180</v>
      </c>
      <c r="B299" s="3">
        <v>47450</v>
      </c>
      <c r="C299">
        <v>100.0</v>
      </c>
      <c r="D299">
        <v>5.9375</v>
      </c>
      <c r="E299">
        <v>0.0</v>
      </c>
      <c r="F299">
        <v>5.9375</v>
      </c>
    </row>
    <row r="300" spans="1:6">
      <c r="A300" s="1" t="s">
        <v>180</v>
      </c>
      <c r="B300" s="3">
        <v>47631</v>
      </c>
      <c r="C300">
        <v>100.0</v>
      </c>
      <c r="D300">
        <v>5.9375</v>
      </c>
      <c r="E300">
        <v>0.0</v>
      </c>
      <c r="F300">
        <v>5.9375</v>
      </c>
    </row>
    <row r="301" spans="1:6">
      <c r="A301" s="1" t="s">
        <v>180</v>
      </c>
      <c r="B301" s="3">
        <v>47815</v>
      </c>
      <c r="C301">
        <v>0.0</v>
      </c>
      <c r="D301">
        <v>5.9375</v>
      </c>
      <c r="E301">
        <v>100.0</v>
      </c>
      <c r="F301">
        <v>105.9375</v>
      </c>
    </row>
    <row r="302" spans="1:6">
      <c r="A302" s="1" t="s">
        <v>324</v>
      </c>
      <c r="B302" s="3">
        <v>45792</v>
      </c>
      <c r="C302">
        <v>100.0</v>
      </c>
      <c r="D302">
        <v>3.471233</v>
      </c>
      <c r="E302">
        <v>0.0</v>
      </c>
      <c r="F302">
        <v>3.471233</v>
      </c>
    </row>
    <row r="303" spans="1:6">
      <c r="A303" s="1" t="s">
        <v>324</v>
      </c>
      <c r="B303" s="3">
        <v>45978</v>
      </c>
      <c r="C303">
        <v>100.0</v>
      </c>
      <c r="D303">
        <v>3.528767</v>
      </c>
      <c r="E303">
        <v>0.0</v>
      </c>
      <c r="F303">
        <v>3.528767</v>
      </c>
    </row>
    <row r="304" spans="1:6">
      <c r="A304" s="1" t="s">
        <v>324</v>
      </c>
      <c r="B304" s="3">
        <v>46157</v>
      </c>
      <c r="C304">
        <v>100.0</v>
      </c>
      <c r="D304">
        <v>3.471233</v>
      </c>
      <c r="E304">
        <v>0.0</v>
      </c>
      <c r="F304">
        <v>3.471233</v>
      </c>
    </row>
    <row r="305" spans="1:6">
      <c r="A305" s="1" t="s">
        <v>324</v>
      </c>
      <c r="B305" s="3">
        <v>46342</v>
      </c>
      <c r="C305">
        <v>100.0</v>
      </c>
      <c r="D305">
        <v>3.528767</v>
      </c>
      <c r="E305">
        <v>0.0</v>
      </c>
      <c r="F305">
        <v>3.528767</v>
      </c>
    </row>
    <row r="306" spans="1:6">
      <c r="A306" s="1" t="s">
        <v>324</v>
      </c>
      <c r="B306" s="3">
        <v>46524</v>
      </c>
      <c r="C306">
        <v>100.0</v>
      </c>
      <c r="D306">
        <v>3.471233</v>
      </c>
      <c r="E306">
        <v>0.0</v>
      </c>
      <c r="F306">
        <v>3.471233</v>
      </c>
    </row>
    <row r="307" spans="1:6">
      <c r="A307" s="1" t="s">
        <v>324</v>
      </c>
      <c r="B307" s="3">
        <v>46706</v>
      </c>
      <c r="C307">
        <v>100.0</v>
      </c>
      <c r="D307">
        <v>3.528767</v>
      </c>
      <c r="E307">
        <v>0.0</v>
      </c>
      <c r="F307">
        <v>3.528767</v>
      </c>
    </row>
    <row r="308" spans="1:6">
      <c r="A308" s="1" t="s">
        <v>324</v>
      </c>
      <c r="B308" s="3">
        <v>46888</v>
      </c>
      <c r="C308">
        <v>100.0</v>
      </c>
      <c r="D308">
        <v>3.490411</v>
      </c>
      <c r="E308">
        <v>0.0</v>
      </c>
      <c r="F308">
        <v>3.490411</v>
      </c>
    </row>
    <row r="309" spans="1:6">
      <c r="A309" s="1" t="s">
        <v>324</v>
      </c>
      <c r="B309" s="3">
        <v>47072</v>
      </c>
      <c r="C309">
        <v>0.0</v>
      </c>
      <c r="D309">
        <v>3.528767</v>
      </c>
      <c r="E309">
        <v>100.0</v>
      </c>
      <c r="F309">
        <v>103.528767</v>
      </c>
    </row>
    <row r="310" spans="1:6">
      <c r="A310" s="1" t="s">
        <v>322</v>
      </c>
      <c r="B310" s="3">
        <v>46034</v>
      </c>
      <c r="C310">
        <v>100.0</v>
      </c>
      <c r="D310">
        <v>4.032877</v>
      </c>
      <c r="E310">
        <v>0.0</v>
      </c>
      <c r="F310">
        <v>4.032877</v>
      </c>
    </row>
    <row r="311" spans="1:6">
      <c r="A311" s="1" t="s">
        <v>322</v>
      </c>
      <c r="B311" s="3">
        <v>46216</v>
      </c>
      <c r="C311">
        <v>100.0</v>
      </c>
      <c r="D311">
        <v>3.967123</v>
      </c>
      <c r="E311">
        <v>0.0</v>
      </c>
      <c r="F311">
        <v>3.967123</v>
      </c>
    </row>
    <row r="312" spans="1:6">
      <c r="A312" s="1" t="s">
        <v>322</v>
      </c>
      <c r="B312" s="3">
        <v>46398</v>
      </c>
      <c r="C312">
        <v>100.0</v>
      </c>
      <c r="D312">
        <v>4.032877</v>
      </c>
      <c r="E312">
        <v>0.0</v>
      </c>
      <c r="F312">
        <v>4.032877</v>
      </c>
    </row>
    <row r="313" spans="1:6">
      <c r="A313" s="1" t="s">
        <v>322</v>
      </c>
      <c r="B313" s="3">
        <v>46580</v>
      </c>
      <c r="C313">
        <v>100.0</v>
      </c>
      <c r="D313">
        <v>3.967123</v>
      </c>
      <c r="E313">
        <v>0.0</v>
      </c>
      <c r="F313">
        <v>3.967123</v>
      </c>
    </row>
    <row r="314" spans="1:6">
      <c r="A314" s="1" t="s">
        <v>322</v>
      </c>
      <c r="B314" s="3">
        <v>46763</v>
      </c>
      <c r="C314">
        <v>100.0</v>
      </c>
      <c r="D314">
        <v>4.032877</v>
      </c>
      <c r="E314">
        <v>0.0</v>
      </c>
      <c r="F314">
        <v>4.032877</v>
      </c>
    </row>
    <row r="315" spans="1:6">
      <c r="A315" s="1" t="s">
        <v>322</v>
      </c>
      <c r="B315" s="3">
        <v>46945</v>
      </c>
      <c r="C315">
        <v>0.0</v>
      </c>
      <c r="D315">
        <v>3.989041</v>
      </c>
      <c r="E315">
        <v>100.0</v>
      </c>
      <c r="F315">
        <v>103.989041</v>
      </c>
    </row>
    <row r="316" spans="1:6">
      <c r="A316" s="1" t="s">
        <v>320</v>
      </c>
      <c r="B316" s="3">
        <v>46419</v>
      </c>
      <c r="C316">
        <v>100.0</v>
      </c>
      <c r="D316">
        <v>3.578767</v>
      </c>
      <c r="E316">
        <v>0.0</v>
      </c>
      <c r="F316">
        <v>3.578767</v>
      </c>
    </row>
    <row r="317" spans="1:6">
      <c r="A317" s="1" t="s">
        <v>320</v>
      </c>
      <c r="B317" s="3">
        <v>46507</v>
      </c>
      <c r="C317">
        <v>100.0</v>
      </c>
      <c r="D317">
        <v>1.171233</v>
      </c>
      <c r="E317">
        <v>0.0</v>
      </c>
      <c r="F317">
        <v>1.171233</v>
      </c>
    </row>
    <row r="318" spans="1:6">
      <c r="A318" s="1" t="s">
        <v>320</v>
      </c>
      <c r="B318" s="3">
        <v>46692</v>
      </c>
      <c r="C318">
        <v>100.0</v>
      </c>
      <c r="D318">
        <v>2.381507</v>
      </c>
      <c r="E318">
        <v>0.0</v>
      </c>
      <c r="F318">
        <v>2.381507</v>
      </c>
    </row>
    <row r="319" spans="1:6">
      <c r="A319" s="1" t="s">
        <v>320</v>
      </c>
      <c r="B319" s="3">
        <v>46875</v>
      </c>
      <c r="C319">
        <v>0.0</v>
      </c>
      <c r="D319">
        <v>2.381507</v>
      </c>
      <c r="E319">
        <v>100.0</v>
      </c>
      <c r="F319">
        <v>102.381507</v>
      </c>
    </row>
    <row r="320" spans="1:6">
      <c r="A320" s="1" t="s">
        <v>308</v>
      </c>
      <c r="B320" s="3">
        <v>45434</v>
      </c>
      <c r="C320">
        <v>100.0</v>
      </c>
      <c r="D320">
        <v>2.030137</v>
      </c>
      <c r="E320">
        <v>0.0</v>
      </c>
      <c r="F320">
        <v>2.030137</v>
      </c>
    </row>
    <row r="321" spans="1:6">
      <c r="A321" s="1" t="s">
        <v>308</v>
      </c>
      <c r="B321" s="3">
        <v>45618</v>
      </c>
      <c r="C321">
        <v>100.0</v>
      </c>
      <c r="D321">
        <v>4.915068</v>
      </c>
      <c r="E321">
        <v>0.0</v>
      </c>
      <c r="F321">
        <v>4.915068</v>
      </c>
    </row>
    <row r="322" spans="1:6">
      <c r="A322" s="1" t="s">
        <v>308</v>
      </c>
      <c r="B322" s="3">
        <v>45799</v>
      </c>
      <c r="C322">
        <v>100.0</v>
      </c>
      <c r="D322">
        <v>4.834932</v>
      </c>
      <c r="E322">
        <v>0.0</v>
      </c>
      <c r="F322">
        <v>4.834932</v>
      </c>
    </row>
    <row r="323" spans="1:6">
      <c r="A323" s="1" t="s">
        <v>308</v>
      </c>
      <c r="B323" s="3">
        <v>45986</v>
      </c>
      <c r="C323">
        <v>100.0</v>
      </c>
      <c r="D323">
        <v>4.915068</v>
      </c>
      <c r="E323">
        <v>0.0</v>
      </c>
      <c r="F323">
        <v>4.915068</v>
      </c>
    </row>
    <row r="324" spans="1:6">
      <c r="A324" s="1" t="s">
        <v>308</v>
      </c>
      <c r="B324" s="3">
        <v>46164</v>
      </c>
      <c r="C324">
        <v>100.0</v>
      </c>
      <c r="D324">
        <v>4.834932</v>
      </c>
      <c r="E324">
        <v>0.0</v>
      </c>
      <c r="F324">
        <v>4.834932</v>
      </c>
    </row>
    <row r="325" spans="1:6">
      <c r="A325" s="1" t="s">
        <v>308</v>
      </c>
      <c r="B325" s="3">
        <v>46350</v>
      </c>
      <c r="C325">
        <v>0.0</v>
      </c>
      <c r="D325">
        <v>4.968493</v>
      </c>
      <c r="E325">
        <v>100.0</v>
      </c>
      <c r="F325">
        <v>104.968493</v>
      </c>
    </row>
    <row r="326" spans="1:6">
      <c r="A326" s="1" t="s">
        <v>310</v>
      </c>
      <c r="B326" s="3">
        <v>45693</v>
      </c>
      <c r="C326">
        <v>100.0</v>
      </c>
      <c r="D326">
        <v>4.789041</v>
      </c>
      <c r="E326">
        <v>0.0</v>
      </c>
      <c r="F326">
        <v>4.789041</v>
      </c>
    </row>
    <row r="327" spans="1:6">
      <c r="A327" s="1" t="s">
        <v>310</v>
      </c>
      <c r="B327" s="3">
        <v>45874</v>
      </c>
      <c r="C327">
        <v>100.0</v>
      </c>
      <c r="D327">
        <v>4.710959</v>
      </c>
      <c r="E327">
        <v>0.0</v>
      </c>
      <c r="F327">
        <v>4.710959</v>
      </c>
    </row>
    <row r="328" spans="1:6">
      <c r="A328" s="1" t="s">
        <v>310</v>
      </c>
      <c r="B328" s="3">
        <v>46058</v>
      </c>
      <c r="C328">
        <v>100.0</v>
      </c>
      <c r="D328">
        <v>4.789041</v>
      </c>
      <c r="E328">
        <v>0.0</v>
      </c>
      <c r="F328">
        <v>4.789041</v>
      </c>
    </row>
    <row r="329" spans="1:6">
      <c r="A329" s="1" t="s">
        <v>310</v>
      </c>
      <c r="B329" s="3">
        <v>46239</v>
      </c>
      <c r="C329">
        <v>100.0</v>
      </c>
      <c r="D329">
        <v>4.710959</v>
      </c>
      <c r="E329">
        <v>0.0</v>
      </c>
      <c r="F329">
        <v>4.710959</v>
      </c>
    </row>
    <row r="330" spans="1:6">
      <c r="A330" s="1" t="s">
        <v>310</v>
      </c>
      <c r="B330" s="3">
        <v>46423</v>
      </c>
      <c r="C330">
        <v>100.0</v>
      </c>
      <c r="D330">
        <v>4.789041</v>
      </c>
      <c r="E330">
        <v>0.0</v>
      </c>
      <c r="F330">
        <v>4.789041</v>
      </c>
    </row>
    <row r="331" spans="1:6">
      <c r="A331" s="1" t="s">
        <v>310</v>
      </c>
      <c r="B331" s="3">
        <v>46604</v>
      </c>
      <c r="C331">
        <v>100.0</v>
      </c>
      <c r="D331">
        <v>4.710959</v>
      </c>
      <c r="E331">
        <v>0.0</v>
      </c>
      <c r="F331">
        <v>4.710959</v>
      </c>
    </row>
    <row r="332" spans="1:6">
      <c r="A332" s="1" t="s">
        <v>310</v>
      </c>
      <c r="B332" s="3">
        <v>46790</v>
      </c>
      <c r="C332">
        <v>100.0</v>
      </c>
      <c r="D332">
        <v>4.789041</v>
      </c>
      <c r="E332">
        <v>0.0</v>
      </c>
      <c r="F332">
        <v>4.789041</v>
      </c>
    </row>
    <row r="333" spans="1:6">
      <c r="A333" s="1" t="s">
        <v>310</v>
      </c>
      <c r="B333" s="3">
        <v>46972</v>
      </c>
      <c r="C333">
        <v>0.0</v>
      </c>
      <c r="D333">
        <v>4.789041</v>
      </c>
      <c r="E333">
        <v>100.0</v>
      </c>
      <c r="F333">
        <v>104.789041</v>
      </c>
    </row>
    <row r="334" spans="1:6">
      <c r="A334" s="1" t="s">
        <v>182</v>
      </c>
      <c r="B334" s="3">
        <v>45771</v>
      </c>
      <c r="C334">
        <v>100.0</v>
      </c>
      <c r="D334">
        <v>4.875</v>
      </c>
      <c r="E334">
        <v>0.0</v>
      </c>
      <c r="F334">
        <v>4.875</v>
      </c>
    </row>
    <row r="335" spans="1:6">
      <c r="A335" s="1" t="s">
        <v>182</v>
      </c>
      <c r="B335" s="3">
        <v>45954</v>
      </c>
      <c r="C335">
        <v>100.0</v>
      </c>
      <c r="D335">
        <v>4.875</v>
      </c>
      <c r="E335">
        <v>0.0</v>
      </c>
      <c r="F335">
        <v>4.875</v>
      </c>
    </row>
    <row r="336" spans="1:6">
      <c r="A336" s="1" t="s">
        <v>182</v>
      </c>
      <c r="B336" s="3">
        <v>46136</v>
      </c>
      <c r="C336">
        <v>100.0</v>
      </c>
      <c r="D336">
        <v>4.875</v>
      </c>
      <c r="E336">
        <v>0.0</v>
      </c>
      <c r="F336">
        <v>4.875</v>
      </c>
    </row>
    <row r="337" spans="1:6">
      <c r="A337" s="1" t="s">
        <v>182</v>
      </c>
      <c r="B337" s="3">
        <v>46321</v>
      </c>
      <c r="C337">
        <v>100.0</v>
      </c>
      <c r="D337">
        <v>4.875</v>
      </c>
      <c r="E337">
        <v>0.0</v>
      </c>
      <c r="F337">
        <v>4.875</v>
      </c>
    </row>
    <row r="338" spans="1:6">
      <c r="A338" s="1" t="s">
        <v>182</v>
      </c>
      <c r="B338" s="3">
        <v>46503</v>
      </c>
      <c r="C338">
        <v>100.0</v>
      </c>
      <c r="D338">
        <v>4.875</v>
      </c>
      <c r="E338">
        <v>0.0</v>
      </c>
      <c r="F338">
        <v>4.875</v>
      </c>
    </row>
    <row r="339" spans="1:6">
      <c r="A339" s="1" t="s">
        <v>182</v>
      </c>
      <c r="B339" s="3">
        <v>46685</v>
      </c>
      <c r="C339">
        <v>100.0</v>
      </c>
      <c r="D339">
        <v>4.875</v>
      </c>
      <c r="E339">
        <v>0.0</v>
      </c>
      <c r="F339">
        <v>4.875</v>
      </c>
    </row>
    <row r="340" spans="1:6">
      <c r="A340" s="1" t="s">
        <v>182</v>
      </c>
      <c r="B340" s="3">
        <v>46867</v>
      </c>
      <c r="C340">
        <v>100.0</v>
      </c>
      <c r="D340">
        <v>4.875</v>
      </c>
      <c r="E340">
        <v>0.0</v>
      </c>
      <c r="F340">
        <v>4.875</v>
      </c>
    </row>
    <row r="341" spans="1:6">
      <c r="A341" s="1" t="s">
        <v>182</v>
      </c>
      <c r="B341" s="3">
        <v>47050</v>
      </c>
      <c r="C341">
        <v>66.67</v>
      </c>
      <c r="D341">
        <v>4.875</v>
      </c>
      <c r="E341">
        <v>33.33</v>
      </c>
      <c r="F341">
        <v>38.205</v>
      </c>
    </row>
    <row r="342" spans="1:6">
      <c r="A342" s="1" t="s">
        <v>182</v>
      </c>
      <c r="B342" s="3">
        <v>47232</v>
      </c>
      <c r="C342">
        <v>66.67</v>
      </c>
      <c r="D342">
        <v>3.250163</v>
      </c>
      <c r="E342">
        <v>0.0</v>
      </c>
      <c r="F342">
        <v>3.250163</v>
      </c>
    </row>
    <row r="343" spans="1:6">
      <c r="A343" s="1" t="s">
        <v>182</v>
      </c>
      <c r="B343" s="3">
        <v>47415</v>
      </c>
      <c r="C343">
        <v>33.34</v>
      </c>
      <c r="D343">
        <v>3.250163</v>
      </c>
      <c r="E343">
        <v>33.33</v>
      </c>
      <c r="F343">
        <v>36.580163</v>
      </c>
    </row>
    <row r="344" spans="1:6">
      <c r="A344" s="1" t="s">
        <v>182</v>
      </c>
      <c r="B344" s="3">
        <v>47597</v>
      </c>
      <c r="C344">
        <v>33.34</v>
      </c>
      <c r="D344">
        <v>1.625325</v>
      </c>
      <c r="E344">
        <v>0.0</v>
      </c>
      <c r="F344">
        <v>1.625325</v>
      </c>
    </row>
    <row r="345" spans="1:6">
      <c r="A345" s="1" t="s">
        <v>182</v>
      </c>
      <c r="B345" s="3">
        <v>47780</v>
      </c>
      <c r="C345">
        <v>0.0</v>
      </c>
      <c r="D345">
        <v>1.625325</v>
      </c>
      <c r="E345">
        <v>33.34</v>
      </c>
      <c r="F345">
        <v>34.965325</v>
      </c>
    </row>
    <row r="346" spans="1:6">
      <c r="A346" s="1" t="s">
        <v>184</v>
      </c>
      <c r="B346" s="3">
        <v>46323</v>
      </c>
      <c r="C346">
        <v>100.0</v>
      </c>
      <c r="D346">
        <v>4.75</v>
      </c>
      <c r="E346">
        <v>0.0</v>
      </c>
      <c r="F346">
        <v>4.75</v>
      </c>
    </row>
    <row r="347" spans="1:6">
      <c r="A347" s="1" t="s">
        <v>184</v>
      </c>
      <c r="B347" s="3">
        <v>46505</v>
      </c>
      <c r="C347">
        <v>100.0</v>
      </c>
      <c r="D347">
        <v>4.75</v>
      </c>
      <c r="E347">
        <v>0.0</v>
      </c>
      <c r="F347">
        <v>4.75</v>
      </c>
    </row>
    <row r="348" spans="1:6">
      <c r="A348" s="1" t="s">
        <v>184</v>
      </c>
      <c r="B348" s="3">
        <v>46688</v>
      </c>
      <c r="C348">
        <v>100.0</v>
      </c>
      <c r="D348">
        <v>4.75</v>
      </c>
      <c r="E348">
        <v>0.0</v>
      </c>
      <c r="F348">
        <v>4.75</v>
      </c>
    </row>
    <row r="349" spans="1:6">
      <c r="A349" s="1" t="s">
        <v>184</v>
      </c>
      <c r="B349" s="3">
        <v>46871</v>
      </c>
      <c r="C349">
        <v>100.0</v>
      </c>
      <c r="D349">
        <v>4.75</v>
      </c>
      <c r="E349">
        <v>0.0</v>
      </c>
      <c r="F349">
        <v>4.75</v>
      </c>
    </row>
    <row r="350" spans="1:6">
      <c r="A350" s="1" t="s">
        <v>184</v>
      </c>
      <c r="B350" s="3">
        <v>47056</v>
      </c>
      <c r="C350">
        <v>100.0</v>
      </c>
      <c r="D350">
        <v>4.75</v>
      </c>
      <c r="E350">
        <v>0.0</v>
      </c>
      <c r="F350">
        <v>4.75</v>
      </c>
    </row>
    <row r="351" spans="1:6">
      <c r="A351" s="1" t="s">
        <v>184</v>
      </c>
      <c r="B351" s="3">
        <v>47238</v>
      </c>
      <c r="C351">
        <v>100.0</v>
      </c>
      <c r="D351">
        <v>4.75</v>
      </c>
      <c r="E351">
        <v>0.0</v>
      </c>
      <c r="F351">
        <v>4.75</v>
      </c>
    </row>
    <row r="352" spans="1:6">
      <c r="A352" s="1" t="s">
        <v>184</v>
      </c>
      <c r="B352" s="3">
        <v>47420</v>
      </c>
      <c r="C352">
        <v>100.0</v>
      </c>
      <c r="D352">
        <v>4.75</v>
      </c>
      <c r="E352">
        <v>0.0</v>
      </c>
      <c r="F352">
        <v>4.75</v>
      </c>
    </row>
    <row r="353" spans="1:6">
      <c r="A353" s="1" t="s">
        <v>184</v>
      </c>
      <c r="B353" s="3">
        <v>47602</v>
      </c>
      <c r="C353">
        <v>100.0</v>
      </c>
      <c r="D353">
        <v>4.75</v>
      </c>
      <c r="E353">
        <v>0.0</v>
      </c>
      <c r="F353">
        <v>4.75</v>
      </c>
    </row>
    <row r="354" spans="1:6">
      <c r="A354" s="1" t="s">
        <v>184</v>
      </c>
      <c r="B354" s="3">
        <v>47784</v>
      </c>
      <c r="C354">
        <v>100.0</v>
      </c>
      <c r="D354">
        <v>4.75</v>
      </c>
      <c r="E354">
        <v>0.0</v>
      </c>
      <c r="F354">
        <v>4.75</v>
      </c>
    </row>
    <row r="355" spans="1:6">
      <c r="A355" s="1" t="s">
        <v>184</v>
      </c>
      <c r="B355" s="3">
        <v>47966</v>
      </c>
      <c r="C355">
        <v>66.67</v>
      </c>
      <c r="D355">
        <v>4.75</v>
      </c>
      <c r="E355">
        <v>33.33</v>
      </c>
      <c r="F355">
        <v>38.08</v>
      </c>
    </row>
    <row r="356" spans="1:6">
      <c r="A356" s="1" t="s">
        <v>184</v>
      </c>
      <c r="B356" s="3">
        <v>48149</v>
      </c>
      <c r="C356">
        <v>66.67</v>
      </c>
      <c r="D356">
        <v>3.166825</v>
      </c>
      <c r="E356">
        <v>0.0</v>
      </c>
      <c r="F356">
        <v>3.166825</v>
      </c>
    </row>
    <row r="357" spans="1:6">
      <c r="A357" s="1" t="s">
        <v>184</v>
      </c>
      <c r="B357" s="3">
        <v>48332</v>
      </c>
      <c r="C357">
        <v>33.34</v>
      </c>
      <c r="D357">
        <v>3.166825</v>
      </c>
      <c r="E357">
        <v>33.33</v>
      </c>
      <c r="F357">
        <v>36.496825</v>
      </c>
    </row>
    <row r="358" spans="1:6">
      <c r="A358" s="1" t="s">
        <v>184</v>
      </c>
      <c r="B358" s="3">
        <v>48515</v>
      </c>
      <c r="C358">
        <v>33.34</v>
      </c>
      <c r="D358">
        <v>1.58365</v>
      </c>
      <c r="E358">
        <v>0.0</v>
      </c>
      <c r="F358">
        <v>1.58365</v>
      </c>
    </row>
    <row r="359" spans="1:6">
      <c r="A359" s="1" t="s">
        <v>184</v>
      </c>
      <c r="B359" s="3">
        <v>48697</v>
      </c>
      <c r="C359">
        <v>0.0</v>
      </c>
      <c r="D359">
        <v>1.58365</v>
      </c>
      <c r="E359">
        <v>33.34</v>
      </c>
      <c r="F359">
        <v>34.92365</v>
      </c>
    </row>
    <row r="360" spans="1:6">
      <c r="A360" s="1" t="s">
        <v>312</v>
      </c>
      <c r="B360" s="3">
        <v>46391</v>
      </c>
      <c r="C360">
        <v>100.0</v>
      </c>
      <c r="D360">
        <v>3.780822</v>
      </c>
      <c r="E360">
        <v>0.0</v>
      </c>
      <c r="F360">
        <v>3.780822</v>
      </c>
    </row>
    <row r="361" spans="1:6">
      <c r="A361" s="1" t="s">
        <v>312</v>
      </c>
      <c r="B361" s="3">
        <v>46573</v>
      </c>
      <c r="C361">
        <v>100.0</v>
      </c>
      <c r="D361">
        <v>3.719178</v>
      </c>
      <c r="E361">
        <v>0.0</v>
      </c>
      <c r="F361">
        <v>3.719178</v>
      </c>
    </row>
    <row r="362" spans="1:6">
      <c r="A362" s="1" t="s">
        <v>312</v>
      </c>
      <c r="B362" s="3">
        <v>46755</v>
      </c>
      <c r="C362">
        <v>100.0</v>
      </c>
      <c r="D362">
        <v>3.780822</v>
      </c>
      <c r="E362">
        <v>0.0</v>
      </c>
      <c r="F362">
        <v>3.780822</v>
      </c>
    </row>
    <row r="363" spans="1:6">
      <c r="A363" s="1" t="s">
        <v>312</v>
      </c>
      <c r="B363" s="3">
        <v>46937</v>
      </c>
      <c r="C363">
        <v>100.0</v>
      </c>
      <c r="D363">
        <v>3.739726</v>
      </c>
      <c r="E363">
        <v>0.0</v>
      </c>
      <c r="F363">
        <v>3.739726</v>
      </c>
    </row>
    <row r="364" spans="1:6">
      <c r="A364" s="1" t="s">
        <v>312</v>
      </c>
      <c r="B364" s="3">
        <v>47121</v>
      </c>
      <c r="C364">
        <v>100.0</v>
      </c>
      <c r="D364">
        <v>3.780822</v>
      </c>
      <c r="E364">
        <v>0.0</v>
      </c>
      <c r="F364">
        <v>3.780822</v>
      </c>
    </row>
    <row r="365" spans="1:6">
      <c r="A365" s="1" t="s">
        <v>312</v>
      </c>
      <c r="B365" s="3">
        <v>47302</v>
      </c>
      <c r="C365">
        <v>0.0</v>
      </c>
      <c r="D365">
        <v>3.719178</v>
      </c>
      <c r="E365">
        <v>100.0</v>
      </c>
      <c r="F365">
        <v>103.719178</v>
      </c>
    </row>
    <row r="366" spans="1:6">
      <c r="A366" s="1" t="s">
        <v>196</v>
      </c>
      <c r="B366" s="3">
        <v>46372</v>
      </c>
      <c r="C366">
        <v>100.0</v>
      </c>
      <c r="D366">
        <v>4.875</v>
      </c>
      <c r="E366">
        <v>0.0</v>
      </c>
      <c r="F366">
        <v>4.875</v>
      </c>
    </row>
    <row r="367" spans="1:6">
      <c r="A367" s="1" t="s">
        <v>196</v>
      </c>
      <c r="B367" s="3">
        <v>46554</v>
      </c>
      <c r="C367">
        <v>100.0</v>
      </c>
      <c r="D367">
        <v>4.875</v>
      </c>
      <c r="E367">
        <v>0.0</v>
      </c>
      <c r="F367">
        <v>4.875</v>
      </c>
    </row>
    <row r="368" spans="1:6">
      <c r="A368" s="1" t="s">
        <v>196</v>
      </c>
      <c r="B368" s="3">
        <v>46737</v>
      </c>
      <c r="C368">
        <v>100.0</v>
      </c>
      <c r="D368">
        <v>4.875</v>
      </c>
      <c r="E368">
        <v>0.0</v>
      </c>
      <c r="F368">
        <v>4.875</v>
      </c>
    </row>
    <row r="369" spans="1:6">
      <c r="A369" s="1" t="s">
        <v>196</v>
      </c>
      <c r="B369" s="3">
        <v>46920</v>
      </c>
      <c r="C369">
        <v>100.0</v>
      </c>
      <c r="D369">
        <v>4.875</v>
      </c>
      <c r="E369">
        <v>0.0</v>
      </c>
      <c r="F369">
        <v>4.875</v>
      </c>
    </row>
    <row r="370" spans="1:6">
      <c r="A370" s="1" t="s">
        <v>196</v>
      </c>
      <c r="B370" s="3">
        <v>47105</v>
      </c>
      <c r="C370">
        <v>100.0</v>
      </c>
      <c r="D370">
        <v>4.875</v>
      </c>
      <c r="E370">
        <v>0.0</v>
      </c>
      <c r="F370">
        <v>4.875</v>
      </c>
    </row>
    <row r="371" spans="1:6">
      <c r="A371" s="1" t="s">
        <v>196</v>
      </c>
      <c r="B371" s="3">
        <v>47287</v>
      </c>
      <c r="C371">
        <v>100.0</v>
      </c>
      <c r="D371">
        <v>4.875</v>
      </c>
      <c r="E371">
        <v>0.0</v>
      </c>
      <c r="F371">
        <v>4.875</v>
      </c>
    </row>
    <row r="372" spans="1:6">
      <c r="A372" s="1" t="s">
        <v>196</v>
      </c>
      <c r="B372" s="3">
        <v>47469</v>
      </c>
      <c r="C372">
        <v>100.0</v>
      </c>
      <c r="D372">
        <v>4.875</v>
      </c>
      <c r="E372">
        <v>0.0</v>
      </c>
      <c r="F372">
        <v>4.875</v>
      </c>
    </row>
    <row r="373" spans="1:6">
      <c r="A373" s="1" t="s">
        <v>196</v>
      </c>
      <c r="B373" s="3">
        <v>47652</v>
      </c>
      <c r="C373">
        <v>100.0</v>
      </c>
      <c r="D373">
        <v>4.875</v>
      </c>
      <c r="E373">
        <v>0.0</v>
      </c>
      <c r="F373">
        <v>4.875</v>
      </c>
    </row>
    <row r="374" spans="1:6">
      <c r="A374" s="1" t="s">
        <v>196</v>
      </c>
      <c r="B374" s="3">
        <v>47833</v>
      </c>
      <c r="C374">
        <v>100.0</v>
      </c>
      <c r="D374">
        <v>4.875</v>
      </c>
      <c r="E374">
        <v>0.0</v>
      </c>
      <c r="F374">
        <v>4.875</v>
      </c>
    </row>
    <row r="375" spans="1:6">
      <c r="A375" s="1" t="s">
        <v>196</v>
      </c>
      <c r="B375" s="3">
        <v>48016</v>
      </c>
      <c r="C375">
        <v>100.0</v>
      </c>
      <c r="D375">
        <v>4.875</v>
      </c>
      <c r="E375">
        <v>0.0</v>
      </c>
      <c r="F375">
        <v>4.875</v>
      </c>
    </row>
    <row r="376" spans="1:6">
      <c r="A376" s="1" t="s">
        <v>196</v>
      </c>
      <c r="B376" s="3">
        <v>48198</v>
      </c>
      <c r="C376">
        <v>100.0</v>
      </c>
      <c r="D376">
        <v>4.875</v>
      </c>
      <c r="E376">
        <v>0.0</v>
      </c>
      <c r="F376">
        <v>4.875</v>
      </c>
    </row>
    <row r="377" spans="1:6">
      <c r="A377" s="1" t="s">
        <v>196</v>
      </c>
      <c r="B377" s="3">
        <v>48381</v>
      </c>
      <c r="C377">
        <v>100.0</v>
      </c>
      <c r="D377">
        <v>4.875</v>
      </c>
      <c r="E377">
        <v>0.0</v>
      </c>
      <c r="F377">
        <v>4.875</v>
      </c>
    </row>
    <row r="378" spans="1:6">
      <c r="A378" s="1" t="s">
        <v>196</v>
      </c>
      <c r="B378" s="3">
        <v>48564</v>
      </c>
      <c r="C378">
        <v>100.0</v>
      </c>
      <c r="D378">
        <v>4.875</v>
      </c>
      <c r="E378">
        <v>0.0</v>
      </c>
      <c r="F378">
        <v>4.875</v>
      </c>
    </row>
    <row r="379" spans="1:6">
      <c r="A379" s="1" t="s">
        <v>196</v>
      </c>
      <c r="B379" s="3">
        <v>48746</v>
      </c>
      <c r="C379">
        <v>100.0</v>
      </c>
      <c r="D379">
        <v>4.875</v>
      </c>
      <c r="E379">
        <v>0.0</v>
      </c>
      <c r="F379">
        <v>4.875</v>
      </c>
    </row>
    <row r="380" spans="1:6">
      <c r="A380" s="1" t="s">
        <v>196</v>
      </c>
      <c r="B380" s="3">
        <v>48929</v>
      </c>
      <c r="C380">
        <v>100.0</v>
      </c>
      <c r="D380">
        <v>4.875</v>
      </c>
      <c r="E380">
        <v>0.0</v>
      </c>
      <c r="F380">
        <v>4.875</v>
      </c>
    </row>
    <row r="381" spans="1:6">
      <c r="A381" s="1" t="s">
        <v>196</v>
      </c>
      <c r="B381" s="3">
        <v>49111</v>
      </c>
      <c r="C381">
        <v>67.0</v>
      </c>
      <c r="D381">
        <v>4.875</v>
      </c>
      <c r="E381">
        <v>33.0</v>
      </c>
      <c r="F381">
        <v>37.875</v>
      </c>
    </row>
    <row r="382" spans="1:6">
      <c r="A382" s="1" t="s">
        <v>196</v>
      </c>
      <c r="B382" s="3">
        <v>49296</v>
      </c>
      <c r="C382">
        <v>67.0</v>
      </c>
      <c r="D382">
        <v>3.26625</v>
      </c>
      <c r="E382">
        <v>0.0</v>
      </c>
      <c r="F382">
        <v>3.26625</v>
      </c>
    </row>
    <row r="383" spans="1:6">
      <c r="A383" s="1" t="s">
        <v>196</v>
      </c>
      <c r="B383" s="3">
        <v>49478</v>
      </c>
      <c r="C383">
        <v>34.0</v>
      </c>
      <c r="D383">
        <v>3.26625</v>
      </c>
      <c r="E383">
        <v>33.0</v>
      </c>
      <c r="F383">
        <v>36.26625</v>
      </c>
    </row>
    <row r="384" spans="1:6">
      <c r="A384" s="1" t="s">
        <v>196</v>
      </c>
      <c r="B384" s="3">
        <v>49660</v>
      </c>
      <c r="C384">
        <v>34.0</v>
      </c>
      <c r="D384">
        <v>1.6575</v>
      </c>
      <c r="E384">
        <v>0.0</v>
      </c>
      <c r="F384">
        <v>1.6575</v>
      </c>
    </row>
    <row r="385" spans="1:6">
      <c r="A385" s="1" t="s">
        <v>196</v>
      </c>
      <c r="B385" s="3">
        <v>49843</v>
      </c>
      <c r="C385">
        <v>0.0</v>
      </c>
      <c r="D385">
        <v>1.6575</v>
      </c>
      <c r="E385">
        <v>34.0</v>
      </c>
      <c r="F385">
        <v>35.6575</v>
      </c>
    </row>
    <row r="386" spans="1:6">
      <c r="A386" s="1" t="s">
        <v>124</v>
      </c>
      <c r="B386" s="3">
        <v>42955</v>
      </c>
      <c r="C386">
        <v>100.0</v>
      </c>
      <c r="D386">
        <v>4.375</v>
      </c>
      <c r="E386">
        <v>0.0</v>
      </c>
      <c r="F386">
        <v>4.375</v>
      </c>
    </row>
    <row r="387" spans="1:6">
      <c r="A387" s="1" t="s">
        <v>124</v>
      </c>
      <c r="B387" s="3">
        <v>43139</v>
      </c>
      <c r="C387">
        <v>100.0</v>
      </c>
      <c r="D387">
        <v>4.375</v>
      </c>
      <c r="E387">
        <v>0.0</v>
      </c>
      <c r="F387">
        <v>4.375</v>
      </c>
    </row>
    <row r="388" spans="1:6">
      <c r="A388" s="1" t="s">
        <v>124</v>
      </c>
      <c r="B388" s="3">
        <v>43320</v>
      </c>
      <c r="C388">
        <v>100.0</v>
      </c>
      <c r="D388">
        <v>4.375</v>
      </c>
      <c r="E388">
        <v>0.0</v>
      </c>
      <c r="F388">
        <v>4.375</v>
      </c>
    </row>
    <row r="389" spans="1:6">
      <c r="A389" s="1" t="s">
        <v>124</v>
      </c>
      <c r="B389" s="3">
        <v>43504</v>
      </c>
      <c r="C389">
        <v>100.0</v>
      </c>
      <c r="D389">
        <v>4.375</v>
      </c>
      <c r="E389">
        <v>0.0</v>
      </c>
      <c r="F389">
        <v>4.375</v>
      </c>
    </row>
    <row r="390" spans="1:6">
      <c r="A390" s="1" t="s">
        <v>124</v>
      </c>
      <c r="B390" s="3">
        <v>43685</v>
      </c>
      <c r="C390">
        <v>100.0</v>
      </c>
      <c r="D390">
        <v>4.375</v>
      </c>
      <c r="E390">
        <v>0.0</v>
      </c>
      <c r="F390">
        <v>4.375</v>
      </c>
    </row>
    <row r="391" spans="1:6">
      <c r="A391" s="1" t="s">
        <v>124</v>
      </c>
      <c r="B391" s="3">
        <v>43871</v>
      </c>
      <c r="C391">
        <v>100.0</v>
      </c>
      <c r="D391">
        <v>4.375</v>
      </c>
      <c r="E391">
        <v>0.0</v>
      </c>
      <c r="F391">
        <v>4.375</v>
      </c>
    </row>
    <row r="392" spans="1:6">
      <c r="A392" s="1" t="s">
        <v>124</v>
      </c>
      <c r="B392" s="3">
        <v>44053</v>
      </c>
      <c r="C392">
        <v>100.0</v>
      </c>
      <c r="D392">
        <v>0.0</v>
      </c>
      <c r="E392">
        <v>0.0</v>
      </c>
      <c r="F392">
        <v>0.0</v>
      </c>
    </row>
    <row r="393" spans="1:6">
      <c r="A393" s="1" t="s">
        <v>124</v>
      </c>
      <c r="B393" s="3">
        <v>44235</v>
      </c>
      <c r="C393">
        <v>100.0</v>
      </c>
      <c r="D393">
        <v>0.0</v>
      </c>
      <c r="E393">
        <v>0.0</v>
      </c>
      <c r="F393">
        <v>0.0</v>
      </c>
    </row>
    <row r="394" spans="1:6">
      <c r="A394" s="1" t="s">
        <v>124</v>
      </c>
      <c r="B394" s="3">
        <v>44417</v>
      </c>
      <c r="C394">
        <v>100.0</v>
      </c>
      <c r="D394">
        <v>2.5</v>
      </c>
      <c r="E394">
        <v>0.0</v>
      </c>
      <c r="F394">
        <v>2.5</v>
      </c>
    </row>
    <row r="395" spans="1:6">
      <c r="A395" s="1" t="s">
        <v>124</v>
      </c>
      <c r="B395" s="3">
        <v>44600</v>
      </c>
      <c r="C395">
        <v>100.0</v>
      </c>
      <c r="D395">
        <v>2.5</v>
      </c>
      <c r="E395">
        <v>0.0</v>
      </c>
      <c r="F395">
        <v>2.5</v>
      </c>
    </row>
    <row r="396" spans="1:6">
      <c r="A396" s="1" t="s">
        <v>124</v>
      </c>
      <c r="B396" s="3">
        <v>44781</v>
      </c>
      <c r="C396">
        <v>100.0</v>
      </c>
      <c r="D396">
        <v>2.5</v>
      </c>
      <c r="E396">
        <v>0.0</v>
      </c>
      <c r="F396">
        <v>2.5</v>
      </c>
    </row>
    <row r="397" spans="1:6">
      <c r="A397" s="1" t="s">
        <v>124</v>
      </c>
      <c r="B397" s="3">
        <v>44965</v>
      </c>
      <c r="C397">
        <v>95.0</v>
      </c>
      <c r="D397">
        <v>2.875</v>
      </c>
      <c r="E397">
        <v>5.0</v>
      </c>
      <c r="F397">
        <v>7.875</v>
      </c>
    </row>
    <row r="398" spans="1:6">
      <c r="A398" s="1" t="s">
        <v>124</v>
      </c>
      <c r="B398" s="3">
        <v>45146</v>
      </c>
      <c r="C398">
        <v>90.0</v>
      </c>
      <c r="D398">
        <v>3.8475</v>
      </c>
      <c r="E398">
        <v>5.0</v>
      </c>
      <c r="F398">
        <v>8.8475</v>
      </c>
    </row>
    <row r="399" spans="1:6">
      <c r="A399" s="1" t="s">
        <v>124</v>
      </c>
      <c r="B399" s="3">
        <v>45330</v>
      </c>
      <c r="C399">
        <v>81.0</v>
      </c>
      <c r="D399">
        <v>3.7125</v>
      </c>
      <c r="E399">
        <v>9.0</v>
      </c>
      <c r="F399">
        <v>12.7125</v>
      </c>
    </row>
    <row r="400" spans="1:6">
      <c r="A400" s="1" t="s">
        <v>124</v>
      </c>
      <c r="B400" s="3">
        <v>45512</v>
      </c>
      <c r="C400">
        <v>72.0</v>
      </c>
      <c r="D400">
        <v>3.34125</v>
      </c>
      <c r="E400">
        <v>9.0</v>
      </c>
      <c r="F400">
        <v>12.34125</v>
      </c>
    </row>
    <row r="401" spans="1:6">
      <c r="A401" s="1" t="s">
        <v>124</v>
      </c>
      <c r="B401" s="3">
        <v>45698</v>
      </c>
      <c r="C401">
        <v>63.0</v>
      </c>
      <c r="D401">
        <v>2.97</v>
      </c>
      <c r="E401">
        <v>9.0</v>
      </c>
      <c r="F401">
        <v>11.97</v>
      </c>
    </row>
    <row r="402" spans="1:6">
      <c r="A402" s="1" t="s">
        <v>124</v>
      </c>
      <c r="B402" s="3">
        <v>45877</v>
      </c>
      <c r="C402">
        <v>54.0</v>
      </c>
      <c r="D402">
        <v>2.59875</v>
      </c>
      <c r="E402">
        <v>9.0</v>
      </c>
      <c r="F402">
        <v>11.59875</v>
      </c>
    </row>
    <row r="403" spans="1:6">
      <c r="A403" s="1" t="s">
        <v>124</v>
      </c>
      <c r="B403" s="3">
        <v>46062</v>
      </c>
      <c r="C403">
        <v>45.0</v>
      </c>
      <c r="D403">
        <v>2.2275</v>
      </c>
      <c r="E403">
        <v>9.0</v>
      </c>
      <c r="F403">
        <v>11.2275</v>
      </c>
    </row>
    <row r="404" spans="1:6">
      <c r="A404" s="1" t="s">
        <v>124</v>
      </c>
      <c r="B404" s="3">
        <v>46244</v>
      </c>
      <c r="C404">
        <v>36.0</v>
      </c>
      <c r="D404">
        <v>1.85625</v>
      </c>
      <c r="E404">
        <v>9.0</v>
      </c>
      <c r="F404">
        <v>10.85625</v>
      </c>
    </row>
    <row r="405" spans="1:6">
      <c r="A405" s="1" t="s">
        <v>124</v>
      </c>
      <c r="B405" s="3">
        <v>46428</v>
      </c>
      <c r="C405">
        <v>27.0</v>
      </c>
      <c r="D405">
        <v>1.485</v>
      </c>
      <c r="E405">
        <v>9.0</v>
      </c>
      <c r="F405">
        <v>10.485</v>
      </c>
    </row>
    <row r="406" spans="1:6">
      <c r="A406" s="1" t="s">
        <v>124</v>
      </c>
      <c r="B406" s="3">
        <v>46608</v>
      </c>
      <c r="C406">
        <v>18.0</v>
      </c>
      <c r="D406">
        <v>1.11375</v>
      </c>
      <c r="E406">
        <v>9.0</v>
      </c>
      <c r="F406">
        <v>10.11375</v>
      </c>
    </row>
    <row r="407" spans="1:6">
      <c r="A407" s="1" t="s">
        <v>124</v>
      </c>
      <c r="B407" s="3">
        <v>46791</v>
      </c>
      <c r="C407">
        <v>9.0</v>
      </c>
      <c r="D407">
        <v>0.7425</v>
      </c>
      <c r="E407">
        <v>9.0</v>
      </c>
      <c r="F407">
        <v>9.7425</v>
      </c>
    </row>
    <row r="408" spans="1:6">
      <c r="A408" s="1" t="s">
        <v>124</v>
      </c>
      <c r="B408" s="3">
        <v>46973</v>
      </c>
      <c r="C408">
        <v>0.0</v>
      </c>
      <c r="D408">
        <v>0.37125</v>
      </c>
      <c r="E408">
        <v>9.0</v>
      </c>
      <c r="F408">
        <v>9.37125</v>
      </c>
    </row>
    <row r="409" spans="1:6">
      <c r="A409" s="1" t="s">
        <v>126</v>
      </c>
      <c r="B409" s="3">
        <v>46269</v>
      </c>
      <c r="C409">
        <v>100.0</v>
      </c>
      <c r="D409">
        <v>4.775</v>
      </c>
      <c r="E409">
        <v>0.0</v>
      </c>
      <c r="F409">
        <v>4.775</v>
      </c>
    </row>
    <row r="410" spans="1:6">
      <c r="A410" s="1" t="s">
        <v>126</v>
      </c>
      <c r="B410" s="3">
        <v>46450</v>
      </c>
      <c r="C410">
        <v>100.0</v>
      </c>
      <c r="D410">
        <v>4.775</v>
      </c>
      <c r="E410">
        <v>0.0</v>
      </c>
      <c r="F410">
        <v>4.775</v>
      </c>
    </row>
    <row r="411" spans="1:6">
      <c r="A411" s="1" t="s">
        <v>126</v>
      </c>
      <c r="B411" s="3">
        <v>46636</v>
      </c>
      <c r="C411">
        <v>100.0</v>
      </c>
      <c r="D411">
        <v>4.775</v>
      </c>
      <c r="E411">
        <v>0.0</v>
      </c>
      <c r="F411">
        <v>4.775</v>
      </c>
    </row>
    <row r="412" spans="1:6">
      <c r="A412" s="1" t="s">
        <v>126</v>
      </c>
      <c r="B412" s="3">
        <v>46818</v>
      </c>
      <c r="C412">
        <v>100.0</v>
      </c>
      <c r="D412">
        <v>4.775</v>
      </c>
      <c r="E412">
        <v>0.0</v>
      </c>
      <c r="F412">
        <v>4.775</v>
      </c>
    </row>
    <row r="413" spans="1:6">
      <c r="A413" s="1" t="s">
        <v>126</v>
      </c>
      <c r="B413" s="3">
        <v>47000</v>
      </c>
      <c r="C413">
        <v>100.0</v>
      </c>
      <c r="D413">
        <v>4.775</v>
      </c>
      <c r="E413">
        <v>0.0</v>
      </c>
      <c r="F413">
        <v>4.775</v>
      </c>
    </row>
    <row r="414" spans="1:6">
      <c r="A414" s="1" t="s">
        <v>126</v>
      </c>
      <c r="B414" s="3">
        <v>47182</v>
      </c>
      <c r="C414">
        <v>100.0</v>
      </c>
      <c r="D414">
        <v>4.775</v>
      </c>
      <c r="E414">
        <v>0.0</v>
      </c>
      <c r="F414">
        <v>4.775</v>
      </c>
    </row>
    <row r="415" spans="1:6">
      <c r="A415" s="1" t="s">
        <v>126</v>
      </c>
      <c r="B415" s="3">
        <v>47365</v>
      </c>
      <c r="C415">
        <v>100.0</v>
      </c>
      <c r="D415">
        <v>4.775</v>
      </c>
      <c r="E415">
        <v>0.0</v>
      </c>
      <c r="F415">
        <v>4.775</v>
      </c>
    </row>
    <row r="416" spans="1:6">
      <c r="A416" s="1" t="s">
        <v>126</v>
      </c>
      <c r="B416" s="3">
        <v>47546</v>
      </c>
      <c r="C416">
        <v>100.0</v>
      </c>
      <c r="D416">
        <v>4.775</v>
      </c>
      <c r="E416">
        <v>0.0</v>
      </c>
      <c r="F416">
        <v>4.775</v>
      </c>
    </row>
    <row r="417" spans="1:6">
      <c r="A417" s="1" t="s">
        <v>126</v>
      </c>
      <c r="B417" s="3">
        <v>47730</v>
      </c>
      <c r="C417">
        <v>100.0</v>
      </c>
      <c r="D417">
        <v>4.775</v>
      </c>
      <c r="E417">
        <v>0.0</v>
      </c>
      <c r="F417">
        <v>4.775</v>
      </c>
    </row>
    <row r="418" spans="1:6">
      <c r="A418" s="1" t="s">
        <v>126</v>
      </c>
      <c r="B418" s="3">
        <v>47911</v>
      </c>
      <c r="C418">
        <v>66.67</v>
      </c>
      <c r="D418">
        <v>4.775</v>
      </c>
      <c r="E418">
        <v>33.33</v>
      </c>
      <c r="F418">
        <v>38.105</v>
      </c>
    </row>
    <row r="419" spans="1:6">
      <c r="A419" s="1" t="s">
        <v>126</v>
      </c>
      <c r="B419" s="3">
        <v>48095</v>
      </c>
      <c r="C419">
        <v>66.67</v>
      </c>
      <c r="D419">
        <v>3.183492</v>
      </c>
      <c r="E419">
        <v>0.0</v>
      </c>
      <c r="F419">
        <v>3.183492</v>
      </c>
    </row>
    <row r="420" spans="1:6">
      <c r="A420" s="1" t="s">
        <v>126</v>
      </c>
      <c r="B420" s="3">
        <v>48277</v>
      </c>
      <c r="C420">
        <v>33.34</v>
      </c>
      <c r="D420">
        <v>3.183492</v>
      </c>
      <c r="E420">
        <v>33.33</v>
      </c>
      <c r="F420">
        <v>36.513492</v>
      </c>
    </row>
    <row r="421" spans="1:6">
      <c r="A421" s="1" t="s">
        <v>126</v>
      </c>
      <c r="B421" s="3">
        <v>48463</v>
      </c>
      <c r="C421">
        <v>33.34</v>
      </c>
      <c r="D421">
        <v>1.591985</v>
      </c>
      <c r="E421">
        <v>0.0</v>
      </c>
      <c r="F421">
        <v>1.591985</v>
      </c>
    </row>
    <row r="422" spans="1:6">
      <c r="A422" s="1" t="s">
        <v>126</v>
      </c>
      <c r="B422" s="3">
        <v>48642</v>
      </c>
      <c r="C422">
        <v>0.0</v>
      </c>
      <c r="D422">
        <v>1.591985</v>
      </c>
      <c r="E422">
        <v>33.34</v>
      </c>
      <c r="F422">
        <v>34.931985</v>
      </c>
    </row>
    <row r="423" spans="1:6">
      <c r="A423" s="1" t="s">
        <v>89</v>
      </c>
      <c r="B423" s="3">
        <v>45993</v>
      </c>
      <c r="C423">
        <v>100.0</v>
      </c>
      <c r="D423">
        <v>0.0</v>
      </c>
      <c r="E423">
        <v>0.0</v>
      </c>
      <c r="F423">
        <v>0.0</v>
      </c>
    </row>
    <row r="424" spans="1:6">
      <c r="A424" s="1" t="s">
        <v>89</v>
      </c>
      <c r="B424" s="3">
        <v>46175</v>
      </c>
      <c r="C424">
        <v>100.0</v>
      </c>
      <c r="D424">
        <v>3.875</v>
      </c>
      <c r="E424">
        <v>0.0</v>
      </c>
      <c r="F424">
        <v>3.875</v>
      </c>
    </row>
    <row r="425" spans="1:6">
      <c r="A425" s="1" t="s">
        <v>89</v>
      </c>
      <c r="B425" s="3">
        <v>46358</v>
      </c>
      <c r="C425">
        <v>100.0</v>
      </c>
      <c r="D425">
        <v>3.875</v>
      </c>
      <c r="E425">
        <v>0.0</v>
      </c>
      <c r="F425">
        <v>3.875</v>
      </c>
    </row>
    <row r="426" spans="1:6">
      <c r="A426" s="1" t="s">
        <v>89</v>
      </c>
      <c r="B426" s="3">
        <v>46540</v>
      </c>
      <c r="C426">
        <v>100.0</v>
      </c>
      <c r="D426">
        <v>3.875</v>
      </c>
      <c r="E426">
        <v>0.0</v>
      </c>
      <c r="F426">
        <v>3.875</v>
      </c>
    </row>
    <row r="427" spans="1:6">
      <c r="A427" s="1" t="s">
        <v>89</v>
      </c>
      <c r="B427" s="3">
        <v>46723</v>
      </c>
      <c r="C427">
        <v>100.0</v>
      </c>
      <c r="D427">
        <v>3.875</v>
      </c>
      <c r="E427">
        <v>0.0</v>
      </c>
      <c r="F427">
        <v>3.875</v>
      </c>
    </row>
    <row r="428" spans="1:6">
      <c r="A428" s="1" t="s">
        <v>89</v>
      </c>
      <c r="B428" s="3">
        <v>46906</v>
      </c>
      <c r="C428">
        <v>100.0</v>
      </c>
      <c r="D428">
        <v>3.875</v>
      </c>
      <c r="E428">
        <v>0.0</v>
      </c>
      <c r="F428">
        <v>3.875</v>
      </c>
    </row>
    <row r="429" spans="1:6">
      <c r="A429" s="1" t="s">
        <v>89</v>
      </c>
      <c r="B429" s="3">
        <v>47089</v>
      </c>
      <c r="C429">
        <v>100.0</v>
      </c>
      <c r="D429">
        <v>3.875</v>
      </c>
      <c r="E429">
        <v>0.0</v>
      </c>
      <c r="F429">
        <v>3.875</v>
      </c>
    </row>
    <row r="430" spans="1:6">
      <c r="A430" s="1" t="s">
        <v>89</v>
      </c>
      <c r="B430" s="3">
        <v>47271</v>
      </c>
      <c r="C430">
        <v>100.0</v>
      </c>
      <c r="D430">
        <v>3.875</v>
      </c>
      <c r="E430">
        <v>0.0</v>
      </c>
      <c r="F430">
        <v>3.875</v>
      </c>
    </row>
    <row r="431" spans="1:6">
      <c r="A431" s="1" t="s">
        <v>89</v>
      </c>
      <c r="B431" s="3">
        <v>47454</v>
      </c>
      <c r="C431">
        <v>100.0</v>
      </c>
      <c r="D431">
        <v>3.875</v>
      </c>
      <c r="E431">
        <v>0.0</v>
      </c>
      <c r="F431">
        <v>3.875</v>
      </c>
    </row>
    <row r="432" spans="1:6">
      <c r="A432" s="1" t="s">
        <v>89</v>
      </c>
      <c r="B432" s="3">
        <v>47636</v>
      </c>
      <c r="C432">
        <v>100.0</v>
      </c>
      <c r="D432">
        <v>3.875</v>
      </c>
      <c r="E432">
        <v>0.0</v>
      </c>
      <c r="F432">
        <v>3.875</v>
      </c>
    </row>
    <row r="433" spans="1:6">
      <c r="A433" s="1" t="s">
        <v>89</v>
      </c>
      <c r="B433" s="3">
        <v>47819</v>
      </c>
      <c r="C433">
        <v>100.0</v>
      </c>
      <c r="D433">
        <v>3.875</v>
      </c>
      <c r="E433">
        <v>0.0</v>
      </c>
      <c r="F433">
        <v>3.875</v>
      </c>
    </row>
    <row r="434" spans="1:6">
      <c r="A434" s="1" t="s">
        <v>89</v>
      </c>
      <c r="B434" s="3">
        <v>48001</v>
      </c>
      <c r="C434">
        <v>100.0</v>
      </c>
      <c r="D434">
        <v>3.875</v>
      </c>
      <c r="E434">
        <v>0.0</v>
      </c>
      <c r="F434">
        <v>3.875</v>
      </c>
    </row>
    <row r="435" spans="1:6">
      <c r="A435" s="1" t="s">
        <v>89</v>
      </c>
      <c r="B435" s="3">
        <v>48184</v>
      </c>
      <c r="C435">
        <v>67.0</v>
      </c>
      <c r="D435">
        <v>3.875</v>
      </c>
      <c r="E435">
        <v>33.0</v>
      </c>
      <c r="F435">
        <v>36.875</v>
      </c>
    </row>
    <row r="436" spans="1:6">
      <c r="A436" s="1" t="s">
        <v>89</v>
      </c>
      <c r="B436" s="3">
        <v>48367</v>
      </c>
      <c r="C436">
        <v>67.0</v>
      </c>
      <c r="D436">
        <v>2.59625</v>
      </c>
      <c r="E436">
        <v>0.0</v>
      </c>
      <c r="F436">
        <v>2.59625</v>
      </c>
    </row>
    <row r="437" spans="1:6">
      <c r="A437" s="1" t="s">
        <v>89</v>
      </c>
      <c r="B437" s="3">
        <v>48550</v>
      </c>
      <c r="C437">
        <v>34.0</v>
      </c>
      <c r="D437">
        <v>2.59625</v>
      </c>
      <c r="E437">
        <v>33.0</v>
      </c>
      <c r="F437">
        <v>35.59625</v>
      </c>
    </row>
    <row r="438" spans="1:6">
      <c r="A438" s="1" t="s">
        <v>89</v>
      </c>
      <c r="B438" s="3">
        <v>48732</v>
      </c>
      <c r="C438">
        <v>34.0</v>
      </c>
      <c r="D438">
        <v>1.3175</v>
      </c>
      <c r="E438">
        <v>0.0</v>
      </c>
      <c r="F438">
        <v>1.3175</v>
      </c>
    </row>
    <row r="439" spans="1:6">
      <c r="A439" s="1" t="s">
        <v>89</v>
      </c>
      <c r="B439" s="3">
        <v>48915</v>
      </c>
      <c r="C439">
        <v>0.0</v>
      </c>
      <c r="D439">
        <v>1.3175</v>
      </c>
      <c r="E439">
        <v>34.0</v>
      </c>
      <c r="F439">
        <v>35.3175</v>
      </c>
    </row>
    <row r="440" spans="1:6">
      <c r="A440" s="1" t="s">
        <v>286</v>
      </c>
      <c r="B440" s="3">
        <v>45988</v>
      </c>
      <c r="C440">
        <v>100.0</v>
      </c>
      <c r="D440">
        <v>3.780822</v>
      </c>
      <c r="E440">
        <v>0.0</v>
      </c>
      <c r="F440">
        <v>3.780822</v>
      </c>
    </row>
    <row r="441" spans="1:6">
      <c r="A441" s="1" t="s">
        <v>286</v>
      </c>
      <c r="B441" s="3">
        <v>46169</v>
      </c>
      <c r="C441">
        <v>100.0</v>
      </c>
      <c r="D441">
        <v>3.719178</v>
      </c>
      <c r="E441">
        <v>0.0</v>
      </c>
      <c r="F441">
        <v>3.719178</v>
      </c>
    </row>
    <row r="442" spans="1:6">
      <c r="A442" s="1" t="s">
        <v>286</v>
      </c>
      <c r="B442" s="3">
        <v>46353</v>
      </c>
      <c r="C442">
        <v>100.0</v>
      </c>
      <c r="D442">
        <v>3.780822</v>
      </c>
      <c r="E442">
        <v>0.0</v>
      </c>
      <c r="F442">
        <v>3.780822</v>
      </c>
    </row>
    <row r="443" spans="1:6">
      <c r="A443" s="1" t="s">
        <v>286</v>
      </c>
      <c r="B443" s="3">
        <v>46534</v>
      </c>
      <c r="C443">
        <v>0.0</v>
      </c>
      <c r="D443">
        <v>3.719178</v>
      </c>
      <c r="E443">
        <v>100.0</v>
      </c>
      <c r="F443">
        <v>103.719178</v>
      </c>
    </row>
    <row r="444" spans="1:6">
      <c r="A444" s="1" t="s">
        <v>288</v>
      </c>
      <c r="B444" s="3">
        <v>46365</v>
      </c>
      <c r="C444">
        <v>100.0</v>
      </c>
      <c r="D444">
        <v>3.258904</v>
      </c>
      <c r="E444">
        <v>0.0</v>
      </c>
      <c r="F444">
        <v>3.258904</v>
      </c>
    </row>
    <row r="445" spans="1:6">
      <c r="A445" s="1" t="s">
        <v>288</v>
      </c>
      <c r="B445" s="3">
        <v>46546</v>
      </c>
      <c r="C445">
        <v>100.0</v>
      </c>
      <c r="D445">
        <v>3.241096</v>
      </c>
      <c r="E445">
        <v>0.0</v>
      </c>
      <c r="F445">
        <v>3.241096</v>
      </c>
    </row>
    <row r="446" spans="1:6">
      <c r="A446" s="1" t="s">
        <v>288</v>
      </c>
      <c r="B446" s="3">
        <v>46730</v>
      </c>
      <c r="C446">
        <v>100.0</v>
      </c>
      <c r="D446">
        <v>3.258904</v>
      </c>
      <c r="E446">
        <v>0.0</v>
      </c>
      <c r="F446">
        <v>3.258904</v>
      </c>
    </row>
    <row r="447" spans="1:6">
      <c r="A447" s="1" t="s">
        <v>288</v>
      </c>
      <c r="B447" s="3">
        <v>46912</v>
      </c>
      <c r="C447">
        <v>100.0</v>
      </c>
      <c r="D447">
        <v>3.258904</v>
      </c>
      <c r="E447">
        <v>0.0</v>
      </c>
      <c r="F447">
        <v>3.258904</v>
      </c>
    </row>
    <row r="448" spans="1:6">
      <c r="A448" s="1" t="s">
        <v>288</v>
      </c>
      <c r="B448" s="3">
        <v>47098</v>
      </c>
      <c r="C448">
        <v>0.0</v>
      </c>
      <c r="D448">
        <v>3.312329</v>
      </c>
      <c r="E448">
        <v>100.0</v>
      </c>
      <c r="F448">
        <v>103.312329</v>
      </c>
    </row>
    <row r="449" spans="1:6">
      <c r="A449" s="1" t="s">
        <v>455</v>
      </c>
      <c r="B449" s="3">
        <v>46258</v>
      </c>
      <c r="C449">
        <v>100.0</v>
      </c>
      <c r="D449">
        <v>0.952877</v>
      </c>
      <c r="E449">
        <v>0.0</v>
      </c>
      <c r="F449">
        <v>0.952877</v>
      </c>
    </row>
    <row r="450" spans="1:6">
      <c r="A450" s="1" t="s">
        <v>455</v>
      </c>
      <c r="B450" s="3">
        <v>46350</v>
      </c>
      <c r="C450">
        <v>100.0</v>
      </c>
      <c r="D450">
        <v>0.932603</v>
      </c>
      <c r="E450">
        <v>0.0</v>
      </c>
      <c r="F450">
        <v>0.932603</v>
      </c>
    </row>
    <row r="451" spans="1:6">
      <c r="A451" s="1" t="s">
        <v>455</v>
      </c>
      <c r="B451" s="3">
        <v>46440</v>
      </c>
      <c r="C451">
        <v>100.0</v>
      </c>
      <c r="D451">
        <v>0.912329</v>
      </c>
      <c r="E451">
        <v>0.0</v>
      </c>
      <c r="F451">
        <v>0.912329</v>
      </c>
    </row>
    <row r="452" spans="1:6">
      <c r="A452" s="1" t="s">
        <v>455</v>
      </c>
      <c r="B452" s="3">
        <v>46531</v>
      </c>
      <c r="C452">
        <v>0.0</v>
      </c>
      <c r="D452">
        <v>0.922466</v>
      </c>
      <c r="E452">
        <v>100.0</v>
      </c>
      <c r="F452">
        <v>100.922466</v>
      </c>
    </row>
    <row r="453" spans="1:6">
      <c r="A453" s="1" t="s">
        <v>190</v>
      </c>
      <c r="B453" s="3">
        <v>44917</v>
      </c>
      <c r="C453">
        <v>100.0</v>
      </c>
      <c r="D453">
        <v>3.986111</v>
      </c>
      <c r="E453">
        <v>0.0</v>
      </c>
      <c r="F453">
        <v>3.986111</v>
      </c>
    </row>
    <row r="454" spans="1:6">
      <c r="A454" s="1" t="s">
        <v>190</v>
      </c>
      <c r="B454" s="3">
        <v>45099</v>
      </c>
      <c r="C454">
        <v>100.0</v>
      </c>
      <c r="D454">
        <v>4.375</v>
      </c>
      <c r="E454">
        <v>0.0</v>
      </c>
      <c r="F454">
        <v>4.375</v>
      </c>
    </row>
    <row r="455" spans="1:6">
      <c r="A455" s="1" t="s">
        <v>190</v>
      </c>
      <c r="B455" s="3">
        <v>45282</v>
      </c>
      <c r="C455">
        <v>100.0</v>
      </c>
      <c r="D455">
        <v>4.375</v>
      </c>
      <c r="E455">
        <v>0.0</v>
      </c>
      <c r="F455">
        <v>4.375</v>
      </c>
    </row>
    <row r="456" spans="1:6">
      <c r="A456" s="1" t="s">
        <v>190</v>
      </c>
      <c r="B456" s="3">
        <v>45467</v>
      </c>
      <c r="C456">
        <v>82.5</v>
      </c>
      <c r="D456">
        <v>4.375</v>
      </c>
      <c r="E456">
        <v>17.5</v>
      </c>
      <c r="F456">
        <v>21.875</v>
      </c>
    </row>
    <row r="457" spans="1:6">
      <c r="A457" s="1" t="s">
        <v>190</v>
      </c>
      <c r="B457" s="3">
        <v>45649</v>
      </c>
      <c r="C457">
        <v>82.5</v>
      </c>
      <c r="D457">
        <v>3.609375</v>
      </c>
      <c r="E457">
        <v>0.0</v>
      </c>
      <c r="F457">
        <v>3.609375</v>
      </c>
    </row>
    <row r="458" spans="1:6">
      <c r="A458" s="1" t="s">
        <v>190</v>
      </c>
      <c r="B458" s="3">
        <v>45831</v>
      </c>
      <c r="C458">
        <v>65.0</v>
      </c>
      <c r="D458">
        <v>3.609375</v>
      </c>
      <c r="E458">
        <v>17.5</v>
      </c>
      <c r="F458">
        <v>21.109375</v>
      </c>
    </row>
    <row r="459" spans="1:6">
      <c r="A459" s="1" t="s">
        <v>190</v>
      </c>
      <c r="B459" s="3">
        <v>46013</v>
      </c>
      <c r="C459">
        <v>65.0</v>
      </c>
      <c r="D459">
        <v>2.84375</v>
      </c>
      <c r="E459">
        <v>0.0</v>
      </c>
      <c r="F459">
        <v>2.84375</v>
      </c>
    </row>
    <row r="460" spans="1:6">
      <c r="A460" s="1" t="s">
        <v>190</v>
      </c>
      <c r="B460" s="3">
        <v>46195</v>
      </c>
      <c r="C460">
        <v>47.5</v>
      </c>
      <c r="D460">
        <v>2.84375</v>
      </c>
      <c r="E460">
        <v>17.5</v>
      </c>
      <c r="F460">
        <v>20.34375</v>
      </c>
    </row>
    <row r="461" spans="1:6">
      <c r="A461" s="1" t="s">
        <v>190</v>
      </c>
      <c r="B461" s="3">
        <v>46378</v>
      </c>
      <c r="C461">
        <v>47.5</v>
      </c>
      <c r="D461">
        <v>2.078125</v>
      </c>
      <c r="E461">
        <v>0.0</v>
      </c>
      <c r="F461">
        <v>2.078125</v>
      </c>
    </row>
    <row r="462" spans="1:6">
      <c r="A462" s="1" t="s">
        <v>190</v>
      </c>
      <c r="B462" s="3">
        <v>46560</v>
      </c>
      <c r="C462">
        <v>30.0</v>
      </c>
      <c r="D462">
        <v>2.078125</v>
      </c>
      <c r="E462">
        <v>17.5</v>
      </c>
      <c r="F462">
        <v>19.578125</v>
      </c>
    </row>
    <row r="463" spans="1:6">
      <c r="A463" s="1" t="s">
        <v>190</v>
      </c>
      <c r="B463" s="3">
        <v>46743</v>
      </c>
      <c r="C463">
        <v>30.0</v>
      </c>
      <c r="D463">
        <v>1.3125</v>
      </c>
      <c r="E463">
        <v>0.0</v>
      </c>
      <c r="F463">
        <v>1.3125</v>
      </c>
    </row>
    <row r="464" spans="1:6">
      <c r="A464" s="1" t="s">
        <v>190</v>
      </c>
      <c r="B464" s="3">
        <v>46926</v>
      </c>
      <c r="C464">
        <v>0.0</v>
      </c>
      <c r="D464">
        <v>1.3125</v>
      </c>
      <c r="E464">
        <v>30.0</v>
      </c>
      <c r="F464">
        <v>31.3125</v>
      </c>
    </row>
    <row r="465" spans="1:6">
      <c r="A465" s="1" t="s">
        <v>192</v>
      </c>
      <c r="B465" s="3">
        <v>45930</v>
      </c>
      <c r="C465">
        <v>100.0</v>
      </c>
      <c r="D465">
        <v>4.0</v>
      </c>
      <c r="E465">
        <v>0.0</v>
      </c>
      <c r="F465">
        <v>4.0</v>
      </c>
    </row>
    <row r="466" spans="1:6">
      <c r="A466" s="1" t="s">
        <v>192</v>
      </c>
      <c r="B466" s="3">
        <v>46112</v>
      </c>
      <c r="C466">
        <v>100.0</v>
      </c>
      <c r="D466">
        <v>4.0</v>
      </c>
      <c r="E466">
        <v>0.0</v>
      </c>
      <c r="F466">
        <v>4.0</v>
      </c>
    </row>
    <row r="467" spans="1:6">
      <c r="A467" s="1" t="s">
        <v>192</v>
      </c>
      <c r="B467" s="3">
        <v>46295</v>
      </c>
      <c r="C467">
        <v>100.0</v>
      </c>
      <c r="D467">
        <v>4.0</v>
      </c>
      <c r="E467">
        <v>0.0</v>
      </c>
      <c r="F467">
        <v>4.0</v>
      </c>
    </row>
    <row r="468" spans="1:6">
      <c r="A468" s="1" t="s">
        <v>192</v>
      </c>
      <c r="B468" s="3">
        <v>46477</v>
      </c>
      <c r="C468">
        <v>100.0</v>
      </c>
      <c r="D468">
        <v>4.0</v>
      </c>
      <c r="E468">
        <v>0.0</v>
      </c>
      <c r="F468">
        <v>4.0</v>
      </c>
    </row>
    <row r="469" spans="1:6">
      <c r="A469" s="1" t="s">
        <v>192</v>
      </c>
      <c r="B469" s="3">
        <v>46660</v>
      </c>
      <c r="C469">
        <v>100.0</v>
      </c>
      <c r="D469">
        <v>4.0</v>
      </c>
      <c r="E469">
        <v>0.0</v>
      </c>
      <c r="F469">
        <v>4.0</v>
      </c>
    </row>
    <row r="470" spans="1:6">
      <c r="A470" s="1" t="s">
        <v>192</v>
      </c>
      <c r="B470" s="3">
        <v>46843</v>
      </c>
      <c r="C470">
        <v>100.0</v>
      </c>
      <c r="D470">
        <v>4.0</v>
      </c>
      <c r="E470">
        <v>0.0</v>
      </c>
      <c r="F470">
        <v>4.0</v>
      </c>
    </row>
    <row r="471" spans="1:6">
      <c r="A471" s="1" t="s">
        <v>192</v>
      </c>
      <c r="B471" s="3">
        <v>47028</v>
      </c>
      <c r="C471">
        <v>100.0</v>
      </c>
      <c r="D471">
        <v>4.0</v>
      </c>
      <c r="E471">
        <v>0.0</v>
      </c>
      <c r="F471">
        <v>4.0</v>
      </c>
    </row>
    <row r="472" spans="1:6">
      <c r="A472" s="1" t="s">
        <v>192</v>
      </c>
      <c r="B472" s="3">
        <v>47211</v>
      </c>
      <c r="C472">
        <v>100.0</v>
      </c>
      <c r="D472">
        <v>4.0</v>
      </c>
      <c r="E472">
        <v>0.0</v>
      </c>
      <c r="F472">
        <v>4.0</v>
      </c>
    </row>
    <row r="473" spans="1:6">
      <c r="A473" s="1" t="s">
        <v>192</v>
      </c>
      <c r="B473" s="3">
        <v>47392</v>
      </c>
      <c r="C473">
        <v>100.0</v>
      </c>
      <c r="D473">
        <v>4.0</v>
      </c>
      <c r="E473">
        <v>0.0</v>
      </c>
      <c r="F473">
        <v>4.0</v>
      </c>
    </row>
    <row r="474" spans="1:6">
      <c r="A474" s="1" t="s">
        <v>192</v>
      </c>
      <c r="B474" s="3">
        <v>47574</v>
      </c>
      <c r="C474">
        <v>100.0</v>
      </c>
      <c r="D474">
        <v>4.0</v>
      </c>
      <c r="E474">
        <v>0.0</v>
      </c>
      <c r="F474">
        <v>4.0</v>
      </c>
    </row>
    <row r="475" spans="1:6">
      <c r="A475" s="1" t="s">
        <v>192</v>
      </c>
      <c r="B475" s="3">
        <v>47756</v>
      </c>
      <c r="C475">
        <v>100.0</v>
      </c>
      <c r="D475">
        <v>4.0</v>
      </c>
      <c r="E475">
        <v>0.0</v>
      </c>
      <c r="F475">
        <v>4.0</v>
      </c>
    </row>
    <row r="476" spans="1:6">
      <c r="A476" s="1" t="s">
        <v>192</v>
      </c>
      <c r="B476" s="3">
        <v>47938</v>
      </c>
      <c r="C476">
        <v>100.0</v>
      </c>
      <c r="D476">
        <v>4.0</v>
      </c>
      <c r="E476">
        <v>0.0</v>
      </c>
      <c r="F476">
        <v>4.0</v>
      </c>
    </row>
    <row r="477" spans="1:6">
      <c r="A477" s="1" t="s">
        <v>192</v>
      </c>
      <c r="B477" s="3">
        <v>48121</v>
      </c>
      <c r="C477">
        <v>100.0</v>
      </c>
      <c r="D477">
        <v>4.0</v>
      </c>
      <c r="E477">
        <v>0.0</v>
      </c>
      <c r="F477">
        <v>4.0</v>
      </c>
    </row>
    <row r="478" spans="1:6">
      <c r="A478" s="1" t="s">
        <v>192</v>
      </c>
      <c r="B478" s="3">
        <v>48304</v>
      </c>
      <c r="C478">
        <v>100.0</v>
      </c>
      <c r="D478">
        <v>4.0</v>
      </c>
      <c r="E478">
        <v>0.0</v>
      </c>
      <c r="F478">
        <v>4.0</v>
      </c>
    </row>
    <row r="479" spans="1:6">
      <c r="A479" s="1" t="s">
        <v>192</v>
      </c>
      <c r="B479" s="3">
        <v>48487</v>
      </c>
      <c r="C479">
        <v>100.0</v>
      </c>
      <c r="D479">
        <v>4.0</v>
      </c>
      <c r="E479">
        <v>0.0</v>
      </c>
      <c r="F479">
        <v>4.0</v>
      </c>
    </row>
    <row r="480" spans="1:6">
      <c r="A480" s="1" t="s">
        <v>192</v>
      </c>
      <c r="B480" s="3">
        <v>48669</v>
      </c>
      <c r="C480">
        <v>67.0</v>
      </c>
      <c r="D480">
        <v>4.0</v>
      </c>
      <c r="E480">
        <v>33.0</v>
      </c>
      <c r="F480">
        <v>37.0</v>
      </c>
    </row>
    <row r="481" spans="1:6">
      <c r="A481" s="1" t="s">
        <v>192</v>
      </c>
      <c r="B481" s="3">
        <v>48852</v>
      </c>
      <c r="C481">
        <v>67.0</v>
      </c>
      <c r="D481">
        <v>2.68</v>
      </c>
      <c r="E481">
        <v>0.0</v>
      </c>
      <c r="F481">
        <v>2.68</v>
      </c>
    </row>
    <row r="482" spans="1:6">
      <c r="A482" s="1" t="s">
        <v>192</v>
      </c>
      <c r="B482" s="3">
        <v>49034</v>
      </c>
      <c r="C482">
        <v>34.0</v>
      </c>
      <c r="D482">
        <v>2.68</v>
      </c>
      <c r="E482">
        <v>33.0</v>
      </c>
      <c r="F482">
        <v>35.68</v>
      </c>
    </row>
    <row r="483" spans="1:6">
      <c r="A483" s="1" t="s">
        <v>192</v>
      </c>
      <c r="B483" s="3">
        <v>49219</v>
      </c>
      <c r="C483">
        <v>34.0</v>
      </c>
      <c r="D483">
        <v>1.36</v>
      </c>
      <c r="E483">
        <v>0.0</v>
      </c>
      <c r="F483">
        <v>1.36</v>
      </c>
    </row>
    <row r="484" spans="1:6">
      <c r="A484" s="1" t="s">
        <v>192</v>
      </c>
      <c r="B484" s="3">
        <v>49402</v>
      </c>
      <c r="C484">
        <v>0.0</v>
      </c>
      <c r="D484">
        <v>1.36</v>
      </c>
      <c r="E484">
        <v>34.0</v>
      </c>
      <c r="F484">
        <v>35.36</v>
      </c>
    </row>
    <row r="485" spans="1:6">
      <c r="A485" s="1" t="s">
        <v>136</v>
      </c>
      <c r="B485" s="3">
        <v>43363</v>
      </c>
      <c r="C485">
        <v>100.0</v>
      </c>
      <c r="D485">
        <v>4.3125</v>
      </c>
      <c r="E485">
        <v>0.0</v>
      </c>
      <c r="F485">
        <v>4.3125</v>
      </c>
    </row>
    <row r="486" spans="1:6">
      <c r="A486" s="1" t="s">
        <v>136</v>
      </c>
      <c r="B486" s="3">
        <v>43544</v>
      </c>
      <c r="C486">
        <v>100.0</v>
      </c>
      <c r="D486">
        <v>4.3125</v>
      </c>
      <c r="E486">
        <v>0.0</v>
      </c>
      <c r="F486">
        <v>4.3125</v>
      </c>
    </row>
    <row r="487" spans="1:6">
      <c r="A487" s="1" t="s">
        <v>136</v>
      </c>
      <c r="B487" s="3">
        <v>43728</v>
      </c>
      <c r="C487">
        <v>100.0</v>
      </c>
      <c r="D487">
        <v>4.3125</v>
      </c>
      <c r="E487">
        <v>0.0</v>
      </c>
      <c r="F487">
        <v>4.3125</v>
      </c>
    </row>
    <row r="488" spans="1:6">
      <c r="A488" s="1" t="s">
        <v>136</v>
      </c>
      <c r="B488" s="3">
        <v>43910</v>
      </c>
      <c r="C488">
        <v>100.0</v>
      </c>
      <c r="D488">
        <v>4.3125</v>
      </c>
      <c r="E488">
        <v>0.0</v>
      </c>
      <c r="F488">
        <v>4.3125</v>
      </c>
    </row>
    <row r="489" spans="1:6">
      <c r="A489" s="1" t="s">
        <v>136</v>
      </c>
      <c r="B489" s="3">
        <v>44095</v>
      </c>
      <c r="C489">
        <v>100.0</v>
      </c>
      <c r="D489">
        <v>4.3125</v>
      </c>
      <c r="E489">
        <v>0.0</v>
      </c>
      <c r="F489">
        <v>4.3125</v>
      </c>
    </row>
    <row r="490" spans="1:6">
      <c r="A490" s="1" t="s">
        <v>136</v>
      </c>
      <c r="B490" s="3">
        <v>44277</v>
      </c>
      <c r="C490">
        <v>100.0</v>
      </c>
      <c r="D490">
        <v>0.0</v>
      </c>
      <c r="E490">
        <v>0.0</v>
      </c>
      <c r="F490">
        <v>0.0</v>
      </c>
    </row>
    <row r="491" spans="1:6">
      <c r="A491" s="1" t="s">
        <v>136</v>
      </c>
      <c r="B491" s="3">
        <v>44459</v>
      </c>
      <c r="C491">
        <v>100.0</v>
      </c>
      <c r="D491">
        <v>2.625</v>
      </c>
      <c r="E491">
        <v>0.0</v>
      </c>
      <c r="F491">
        <v>2.625</v>
      </c>
    </row>
    <row r="492" spans="1:6">
      <c r="A492" s="1" t="s">
        <v>136</v>
      </c>
      <c r="B492" s="3">
        <v>44641</v>
      </c>
      <c r="C492">
        <v>100.0</v>
      </c>
      <c r="D492">
        <v>2.875</v>
      </c>
      <c r="E492">
        <v>0.0</v>
      </c>
      <c r="F492">
        <v>2.875</v>
      </c>
    </row>
    <row r="493" spans="1:6">
      <c r="A493" s="1" t="s">
        <v>136</v>
      </c>
      <c r="B493" s="3">
        <v>44824</v>
      </c>
      <c r="C493">
        <v>100.0</v>
      </c>
      <c r="D493">
        <v>4.1875</v>
      </c>
      <c r="E493">
        <v>0.0</v>
      </c>
      <c r="F493">
        <v>4.1875</v>
      </c>
    </row>
    <row r="494" spans="1:6">
      <c r="A494" s="1" t="s">
        <v>136</v>
      </c>
      <c r="B494" s="3">
        <v>45005</v>
      </c>
      <c r="C494">
        <v>88.8889</v>
      </c>
      <c r="D494">
        <v>4.1875</v>
      </c>
      <c r="E494">
        <v>11.111111</v>
      </c>
      <c r="F494">
        <v>15.298611</v>
      </c>
    </row>
    <row r="495" spans="1:6">
      <c r="A495" s="1" t="s">
        <v>136</v>
      </c>
      <c r="B495" s="3">
        <v>45189</v>
      </c>
      <c r="C495">
        <v>77.7778</v>
      </c>
      <c r="D495">
        <v>3.722222</v>
      </c>
      <c r="E495">
        <v>11.111111</v>
      </c>
      <c r="F495">
        <v>14.833333</v>
      </c>
    </row>
    <row r="496" spans="1:6">
      <c r="A496" s="1" t="s">
        <v>136</v>
      </c>
      <c r="B496" s="3">
        <v>45371</v>
      </c>
      <c r="C496">
        <v>66.6667</v>
      </c>
      <c r="D496">
        <v>3.256944</v>
      </c>
      <c r="E496">
        <v>11.111111</v>
      </c>
      <c r="F496">
        <v>14.368055</v>
      </c>
    </row>
    <row r="497" spans="1:6">
      <c r="A497" s="1" t="s">
        <v>136</v>
      </c>
      <c r="B497" s="3">
        <v>45555</v>
      </c>
      <c r="C497">
        <v>55.5556</v>
      </c>
      <c r="D497">
        <v>2.791667</v>
      </c>
      <c r="E497">
        <v>11.111111</v>
      </c>
      <c r="F497">
        <v>13.902778</v>
      </c>
    </row>
    <row r="498" spans="1:6">
      <c r="A498" s="1" t="s">
        <v>136</v>
      </c>
      <c r="B498" s="3">
        <v>45736</v>
      </c>
      <c r="C498">
        <v>44.4444</v>
      </c>
      <c r="D498">
        <v>2.326389</v>
      </c>
      <c r="E498">
        <v>11.111111</v>
      </c>
      <c r="F498">
        <v>13.4375</v>
      </c>
    </row>
    <row r="499" spans="1:6">
      <c r="A499" s="1" t="s">
        <v>136</v>
      </c>
      <c r="B499" s="3">
        <v>45922</v>
      </c>
      <c r="C499">
        <v>33.3333</v>
      </c>
      <c r="D499">
        <v>1.861111</v>
      </c>
      <c r="E499">
        <v>11.111111</v>
      </c>
      <c r="F499">
        <v>12.972222</v>
      </c>
    </row>
    <row r="500" spans="1:6">
      <c r="A500" s="1" t="s">
        <v>136</v>
      </c>
      <c r="B500" s="3">
        <v>46101</v>
      </c>
      <c r="C500">
        <v>22.2222</v>
      </c>
      <c r="D500">
        <v>1.395833</v>
      </c>
      <c r="E500">
        <v>11.111111</v>
      </c>
      <c r="F500">
        <v>12.506944</v>
      </c>
    </row>
    <row r="501" spans="1:6">
      <c r="A501" s="1" t="s">
        <v>136</v>
      </c>
      <c r="B501" s="3">
        <v>46286</v>
      </c>
      <c r="C501">
        <v>11.1111</v>
      </c>
      <c r="D501">
        <v>0.930556</v>
      </c>
      <c r="E501">
        <v>11.111111</v>
      </c>
      <c r="F501">
        <v>12.041667</v>
      </c>
    </row>
    <row r="502" spans="1:6">
      <c r="A502" s="1" t="s">
        <v>136</v>
      </c>
      <c r="B502" s="3">
        <v>46468</v>
      </c>
      <c r="C502">
        <v>0.0</v>
      </c>
      <c r="D502">
        <v>0.465278</v>
      </c>
      <c r="E502">
        <v>11.111112</v>
      </c>
      <c r="F502">
        <v>11.57639</v>
      </c>
    </row>
    <row r="503" spans="1:6">
      <c r="A503" s="1" t="s">
        <v>292</v>
      </c>
      <c r="B503" s="3">
        <v>46048</v>
      </c>
      <c r="C503">
        <v>100.0</v>
      </c>
      <c r="D503">
        <v>4.032877</v>
      </c>
      <c r="E503">
        <v>0.0</v>
      </c>
      <c r="F503">
        <v>4.032877</v>
      </c>
    </row>
    <row r="504" spans="1:6">
      <c r="A504" s="1" t="s">
        <v>292</v>
      </c>
      <c r="B504" s="3">
        <v>46227</v>
      </c>
      <c r="C504">
        <v>100.0</v>
      </c>
      <c r="D504">
        <v>3.967123</v>
      </c>
      <c r="E504">
        <v>0.0</v>
      </c>
      <c r="F504">
        <v>3.967123</v>
      </c>
    </row>
    <row r="505" spans="1:6">
      <c r="A505" s="1" t="s">
        <v>292</v>
      </c>
      <c r="B505" s="3">
        <v>46412</v>
      </c>
      <c r="C505">
        <v>100.0</v>
      </c>
      <c r="D505">
        <v>4.032877</v>
      </c>
      <c r="E505">
        <v>0.0</v>
      </c>
      <c r="F505">
        <v>4.032877</v>
      </c>
    </row>
    <row r="506" spans="1:6">
      <c r="A506" s="1" t="s">
        <v>292</v>
      </c>
      <c r="B506" s="3">
        <v>46594</v>
      </c>
      <c r="C506">
        <v>0.0</v>
      </c>
      <c r="D506">
        <v>4.010959</v>
      </c>
      <c r="E506">
        <v>100.0</v>
      </c>
      <c r="F506">
        <v>104.010959</v>
      </c>
    </row>
    <row r="507" spans="1:6">
      <c r="A507" s="1" t="s">
        <v>451</v>
      </c>
      <c r="B507" s="3">
        <v>46415</v>
      </c>
      <c r="C507">
        <v>100.0</v>
      </c>
      <c r="D507">
        <v>4.25</v>
      </c>
      <c r="E507">
        <v>0.0</v>
      </c>
      <c r="F507">
        <v>4.25</v>
      </c>
    </row>
    <row r="508" spans="1:6">
      <c r="A508" s="1" t="s">
        <v>451</v>
      </c>
      <c r="B508" s="3">
        <v>46596</v>
      </c>
      <c r="C508">
        <v>100.0</v>
      </c>
      <c r="D508">
        <v>4.25</v>
      </c>
      <c r="E508">
        <v>0.0</v>
      </c>
      <c r="F508">
        <v>4.25</v>
      </c>
    </row>
    <row r="509" spans="1:6">
      <c r="A509" s="1" t="s">
        <v>451</v>
      </c>
      <c r="B509" s="3">
        <v>46780</v>
      </c>
      <c r="C509">
        <v>100.0</v>
      </c>
      <c r="D509">
        <v>4.25</v>
      </c>
      <c r="E509">
        <v>0.0</v>
      </c>
      <c r="F509">
        <v>4.25</v>
      </c>
    </row>
    <row r="510" spans="1:6">
      <c r="A510" s="1" t="s">
        <v>451</v>
      </c>
      <c r="B510" s="3">
        <v>46962</v>
      </c>
      <c r="C510">
        <v>100.0</v>
      </c>
      <c r="D510">
        <v>4.25</v>
      </c>
      <c r="E510">
        <v>0.0</v>
      </c>
      <c r="F510">
        <v>4.25</v>
      </c>
    </row>
    <row r="511" spans="1:6">
      <c r="A511" s="1" t="s">
        <v>451</v>
      </c>
      <c r="B511" s="3">
        <v>47147</v>
      </c>
      <c r="C511">
        <v>100.0</v>
      </c>
      <c r="D511">
        <v>4.273611</v>
      </c>
      <c r="E511">
        <v>0.0</v>
      </c>
      <c r="F511">
        <v>4.273611</v>
      </c>
    </row>
    <row r="512" spans="1:6">
      <c r="A512" s="1" t="s">
        <v>451</v>
      </c>
      <c r="B512" s="3">
        <v>47329</v>
      </c>
      <c r="C512">
        <v>100.0</v>
      </c>
      <c r="D512">
        <v>4.273611</v>
      </c>
      <c r="E512">
        <v>0.0</v>
      </c>
      <c r="F512">
        <v>4.273611</v>
      </c>
    </row>
    <row r="513" spans="1:6">
      <c r="A513" s="1" t="s">
        <v>451</v>
      </c>
      <c r="B513" s="3">
        <v>47511</v>
      </c>
      <c r="C513">
        <v>100.0</v>
      </c>
      <c r="D513">
        <v>4.202778</v>
      </c>
      <c r="E513">
        <v>0.0</v>
      </c>
      <c r="F513">
        <v>4.202778</v>
      </c>
    </row>
    <row r="514" spans="1:6">
      <c r="A514" s="1" t="s">
        <v>451</v>
      </c>
      <c r="B514" s="3">
        <v>47693</v>
      </c>
      <c r="C514">
        <v>100.0</v>
      </c>
      <c r="D514">
        <v>4.273611</v>
      </c>
      <c r="E514">
        <v>0.0</v>
      </c>
      <c r="F514">
        <v>4.273611</v>
      </c>
    </row>
    <row r="515" spans="1:6">
      <c r="A515" s="1" t="s">
        <v>451</v>
      </c>
      <c r="B515" s="3">
        <v>47876</v>
      </c>
      <c r="C515">
        <v>100.0</v>
      </c>
      <c r="D515">
        <v>4.226389</v>
      </c>
      <c r="E515">
        <v>0.0</v>
      </c>
      <c r="F515">
        <v>4.226389</v>
      </c>
    </row>
    <row r="516" spans="1:6">
      <c r="A516" s="1" t="s">
        <v>451</v>
      </c>
      <c r="B516" s="3">
        <v>48057</v>
      </c>
      <c r="C516">
        <v>100.0</v>
      </c>
      <c r="D516">
        <v>4.25</v>
      </c>
      <c r="E516">
        <v>0.0</v>
      </c>
      <c r="F516">
        <v>4.25</v>
      </c>
    </row>
    <row r="517" spans="1:6">
      <c r="A517" s="1" t="s">
        <v>451</v>
      </c>
      <c r="B517" s="3">
        <v>48241</v>
      </c>
      <c r="C517">
        <v>100.0</v>
      </c>
      <c r="D517">
        <v>4.25</v>
      </c>
      <c r="E517">
        <v>0.0</v>
      </c>
      <c r="F517">
        <v>4.25</v>
      </c>
    </row>
    <row r="518" spans="1:6">
      <c r="A518" s="1" t="s">
        <v>451</v>
      </c>
      <c r="B518" s="3">
        <v>48423</v>
      </c>
      <c r="C518">
        <v>67.0</v>
      </c>
      <c r="D518">
        <v>4.25</v>
      </c>
      <c r="E518">
        <v>33.0</v>
      </c>
      <c r="F518">
        <v>37.25</v>
      </c>
    </row>
    <row r="519" spans="1:6">
      <c r="A519" s="1" t="s">
        <v>451</v>
      </c>
      <c r="B519" s="3">
        <v>48607</v>
      </c>
      <c r="C519">
        <v>67.0</v>
      </c>
      <c r="D519">
        <v>2.8475</v>
      </c>
      <c r="E519">
        <v>0.0</v>
      </c>
      <c r="F519">
        <v>2.8475</v>
      </c>
    </row>
    <row r="520" spans="1:6">
      <c r="A520" s="1" t="s">
        <v>451</v>
      </c>
      <c r="B520" s="3">
        <v>48788</v>
      </c>
      <c r="C520">
        <v>34.0</v>
      </c>
      <c r="D520">
        <v>2.8475</v>
      </c>
      <c r="E520">
        <v>33.0</v>
      </c>
      <c r="F520">
        <v>35.8475</v>
      </c>
    </row>
    <row r="521" spans="1:6">
      <c r="A521" s="1" t="s">
        <v>451</v>
      </c>
      <c r="B521" s="3">
        <v>48974</v>
      </c>
      <c r="C521">
        <v>34.0</v>
      </c>
      <c r="D521">
        <v>1.461056</v>
      </c>
      <c r="E521">
        <v>0.0</v>
      </c>
      <c r="F521">
        <v>1.461056</v>
      </c>
    </row>
    <row r="522" spans="1:6">
      <c r="A522" s="1" t="s">
        <v>451</v>
      </c>
      <c r="B522" s="3">
        <v>49153</v>
      </c>
      <c r="C522">
        <v>0.0</v>
      </c>
      <c r="D522">
        <v>1.428944</v>
      </c>
      <c r="E522">
        <v>34.0</v>
      </c>
      <c r="F522">
        <v>35.428944</v>
      </c>
    </row>
    <row r="523" spans="1:6">
      <c r="A523" s="1" t="s">
        <v>441</v>
      </c>
      <c r="B523" s="3">
        <v>46260</v>
      </c>
      <c r="C523">
        <v>100.0</v>
      </c>
      <c r="D523">
        <v>3.967123</v>
      </c>
      <c r="E523">
        <v>0.0</v>
      </c>
      <c r="F523">
        <v>3.967123</v>
      </c>
    </row>
    <row r="524" spans="1:6">
      <c r="A524" s="1" t="s">
        <v>441</v>
      </c>
      <c r="B524" s="3">
        <v>46444</v>
      </c>
      <c r="C524">
        <v>100.0</v>
      </c>
      <c r="D524">
        <v>4.032877</v>
      </c>
      <c r="E524">
        <v>0.0</v>
      </c>
      <c r="F524">
        <v>4.032877</v>
      </c>
    </row>
    <row r="525" spans="1:6">
      <c r="A525" s="1" t="s">
        <v>441</v>
      </c>
      <c r="B525" s="3">
        <v>46625</v>
      </c>
      <c r="C525">
        <v>100.0</v>
      </c>
      <c r="D525">
        <v>3.967123</v>
      </c>
      <c r="E525">
        <v>0.0</v>
      </c>
      <c r="F525">
        <v>3.967123</v>
      </c>
    </row>
    <row r="526" spans="1:6">
      <c r="A526" s="1" t="s">
        <v>441</v>
      </c>
      <c r="B526" s="3">
        <v>46813</v>
      </c>
      <c r="C526">
        <v>100.0</v>
      </c>
      <c r="D526">
        <v>4.120548</v>
      </c>
      <c r="E526">
        <v>0.0</v>
      </c>
      <c r="F526">
        <v>4.120548</v>
      </c>
    </row>
    <row r="527" spans="1:6">
      <c r="A527" s="1" t="s">
        <v>441</v>
      </c>
      <c r="B527" s="3">
        <v>46993</v>
      </c>
      <c r="C527">
        <v>100.0</v>
      </c>
      <c r="D527">
        <v>3.945205</v>
      </c>
      <c r="E527">
        <v>0.0</v>
      </c>
      <c r="F527">
        <v>3.945205</v>
      </c>
    </row>
    <row r="528" spans="1:6">
      <c r="A528" s="1" t="s">
        <v>441</v>
      </c>
      <c r="B528" s="3">
        <v>47175</v>
      </c>
      <c r="C528">
        <v>0.0</v>
      </c>
      <c r="D528">
        <v>3.989041</v>
      </c>
      <c r="E528">
        <v>100.0</v>
      </c>
      <c r="F528">
        <v>103.989041</v>
      </c>
    </row>
    <row r="529" spans="1:6">
      <c r="A529" s="1" t="s">
        <v>259</v>
      </c>
      <c r="B529" s="3">
        <v>45910</v>
      </c>
      <c r="C529">
        <v>100.0</v>
      </c>
      <c r="D529">
        <v>3.982466</v>
      </c>
      <c r="E529">
        <v>0.0</v>
      </c>
      <c r="F529">
        <v>3.982466</v>
      </c>
    </row>
    <row r="530" spans="1:6">
      <c r="A530" s="1" t="s">
        <v>259</v>
      </c>
      <c r="B530" s="3">
        <v>46091</v>
      </c>
      <c r="C530">
        <v>100.0</v>
      </c>
      <c r="D530">
        <v>3.917534</v>
      </c>
      <c r="E530">
        <v>0.0</v>
      </c>
      <c r="F530">
        <v>3.917534</v>
      </c>
    </row>
    <row r="531" spans="1:6">
      <c r="A531" s="1" t="s">
        <v>259</v>
      </c>
      <c r="B531" s="3">
        <v>46275</v>
      </c>
      <c r="C531">
        <v>100.0</v>
      </c>
      <c r="D531">
        <v>3.982466</v>
      </c>
      <c r="E531">
        <v>0.0</v>
      </c>
      <c r="F531">
        <v>3.982466</v>
      </c>
    </row>
    <row r="532" spans="1:6">
      <c r="A532" s="1" t="s">
        <v>259</v>
      </c>
      <c r="B532" s="3">
        <v>46456</v>
      </c>
      <c r="C532">
        <v>100.0</v>
      </c>
      <c r="D532">
        <v>3.917534</v>
      </c>
      <c r="E532">
        <v>0.0</v>
      </c>
      <c r="F532">
        <v>3.917534</v>
      </c>
    </row>
    <row r="533" spans="1:6">
      <c r="A533" s="1" t="s">
        <v>259</v>
      </c>
      <c r="B533" s="3">
        <v>46640</v>
      </c>
      <c r="C533">
        <v>100.0</v>
      </c>
      <c r="D533">
        <v>3.982466</v>
      </c>
      <c r="E533">
        <v>0.0</v>
      </c>
      <c r="F533">
        <v>3.982466</v>
      </c>
    </row>
    <row r="534" spans="1:6">
      <c r="A534" s="1" t="s">
        <v>259</v>
      </c>
      <c r="B534" s="3">
        <v>46822</v>
      </c>
      <c r="C534">
        <v>100.0</v>
      </c>
      <c r="D534">
        <v>3.939178</v>
      </c>
      <c r="E534">
        <v>0.0</v>
      </c>
      <c r="F534">
        <v>3.939178</v>
      </c>
    </row>
    <row r="535" spans="1:6">
      <c r="A535" s="1" t="s">
        <v>259</v>
      </c>
      <c r="B535" s="3">
        <v>47007</v>
      </c>
      <c r="C535">
        <v>100.0</v>
      </c>
      <c r="D535">
        <v>3.982466</v>
      </c>
      <c r="E535">
        <v>0.0</v>
      </c>
      <c r="F535">
        <v>3.982466</v>
      </c>
    </row>
    <row r="536" spans="1:6">
      <c r="A536" s="1" t="s">
        <v>259</v>
      </c>
      <c r="B536" s="3">
        <v>47189</v>
      </c>
      <c r="C536">
        <v>0.0</v>
      </c>
      <c r="D536">
        <v>3.960822</v>
      </c>
      <c r="E536">
        <v>100.0</v>
      </c>
      <c r="F536">
        <v>103.960822</v>
      </c>
    </row>
    <row r="537" spans="1:6">
      <c r="A537" s="1" t="s">
        <v>261</v>
      </c>
      <c r="B537" s="3">
        <v>46337</v>
      </c>
      <c r="C537">
        <v>100.0</v>
      </c>
      <c r="D537">
        <v>3.780822</v>
      </c>
      <c r="E537">
        <v>0.0</v>
      </c>
      <c r="F537">
        <v>3.780822</v>
      </c>
    </row>
    <row r="538" spans="1:6">
      <c r="A538" s="1" t="s">
        <v>261</v>
      </c>
      <c r="B538" s="3">
        <v>46518</v>
      </c>
      <c r="C538">
        <v>100.0</v>
      </c>
      <c r="D538">
        <v>3.719178</v>
      </c>
      <c r="E538">
        <v>0.0</v>
      </c>
      <c r="F538">
        <v>3.719178</v>
      </c>
    </row>
    <row r="539" spans="1:6">
      <c r="A539" s="1" t="s">
        <v>261</v>
      </c>
      <c r="B539" s="3">
        <v>46702</v>
      </c>
      <c r="C539">
        <v>100.0</v>
      </c>
      <c r="D539">
        <v>3.780822</v>
      </c>
      <c r="E539">
        <v>0.0</v>
      </c>
      <c r="F539">
        <v>3.780822</v>
      </c>
    </row>
    <row r="540" spans="1:6">
      <c r="A540" s="1" t="s">
        <v>261</v>
      </c>
      <c r="B540" s="3">
        <v>46884</v>
      </c>
      <c r="C540">
        <v>100.0</v>
      </c>
      <c r="D540">
        <v>3.739726</v>
      </c>
      <c r="E540">
        <v>0.0</v>
      </c>
      <c r="F540">
        <v>3.739726</v>
      </c>
    </row>
    <row r="541" spans="1:6">
      <c r="A541" s="1" t="s">
        <v>261</v>
      </c>
      <c r="B541" s="3">
        <v>47070</v>
      </c>
      <c r="C541">
        <v>100.0</v>
      </c>
      <c r="D541">
        <v>3.780822</v>
      </c>
      <c r="E541">
        <v>0.0</v>
      </c>
      <c r="F541">
        <v>3.780822</v>
      </c>
    </row>
    <row r="542" spans="1:6">
      <c r="A542" s="1" t="s">
        <v>261</v>
      </c>
      <c r="B542" s="3">
        <v>47249</v>
      </c>
      <c r="C542">
        <v>100.0</v>
      </c>
      <c r="D542">
        <v>3.719178</v>
      </c>
      <c r="E542">
        <v>0.0</v>
      </c>
      <c r="F542">
        <v>3.719178</v>
      </c>
    </row>
    <row r="543" spans="1:6">
      <c r="A543" s="1" t="s">
        <v>261</v>
      </c>
      <c r="B543" s="3">
        <v>47434</v>
      </c>
      <c r="C543">
        <v>100.0</v>
      </c>
      <c r="D543">
        <v>3.780822</v>
      </c>
      <c r="E543">
        <v>0.0</v>
      </c>
      <c r="F543">
        <v>3.780822</v>
      </c>
    </row>
    <row r="544" spans="1:6">
      <c r="A544" s="1" t="s">
        <v>261</v>
      </c>
      <c r="B544" s="3">
        <v>47616</v>
      </c>
      <c r="C544">
        <v>0.0</v>
      </c>
      <c r="D544">
        <v>3.719178</v>
      </c>
      <c r="E544">
        <v>100.0</v>
      </c>
      <c r="F544">
        <v>103.719178</v>
      </c>
    </row>
    <row r="545" spans="1:6">
      <c r="A545" s="1" t="s">
        <v>198</v>
      </c>
      <c r="B545" s="3">
        <v>45726</v>
      </c>
      <c r="C545">
        <v>100.0</v>
      </c>
      <c r="D545">
        <v>3.975</v>
      </c>
      <c r="E545">
        <v>0.0</v>
      </c>
      <c r="F545">
        <v>3.975</v>
      </c>
    </row>
    <row r="546" spans="1:6">
      <c r="A546" s="1" t="s">
        <v>198</v>
      </c>
      <c r="B546" s="3">
        <v>45910</v>
      </c>
      <c r="C546">
        <v>100.0</v>
      </c>
      <c r="D546">
        <v>3.975</v>
      </c>
      <c r="E546">
        <v>0.0</v>
      </c>
      <c r="F546">
        <v>3.975</v>
      </c>
    </row>
    <row r="547" spans="1:6">
      <c r="A547" s="1" t="s">
        <v>198</v>
      </c>
      <c r="B547" s="3">
        <v>46091</v>
      </c>
      <c r="C547">
        <v>100.0</v>
      </c>
      <c r="D547">
        <v>3.975</v>
      </c>
      <c r="E547">
        <v>0.0</v>
      </c>
      <c r="F547">
        <v>3.975</v>
      </c>
    </row>
    <row r="548" spans="1:6">
      <c r="A548" s="1" t="s">
        <v>198</v>
      </c>
      <c r="B548" s="3">
        <v>46275</v>
      </c>
      <c r="C548">
        <v>100.0</v>
      </c>
      <c r="D548">
        <v>3.975</v>
      </c>
      <c r="E548">
        <v>0.0</v>
      </c>
      <c r="F548">
        <v>3.975</v>
      </c>
    </row>
    <row r="549" spans="1:6">
      <c r="A549" s="1" t="s">
        <v>198</v>
      </c>
      <c r="B549" s="3">
        <v>46456</v>
      </c>
      <c r="C549">
        <v>100.0</v>
      </c>
      <c r="D549">
        <v>3.975</v>
      </c>
      <c r="E549">
        <v>0.0</v>
      </c>
      <c r="F549">
        <v>3.975</v>
      </c>
    </row>
    <row r="550" spans="1:6">
      <c r="A550" s="1" t="s">
        <v>198</v>
      </c>
      <c r="B550" s="3">
        <v>46640</v>
      </c>
      <c r="C550">
        <v>100.0</v>
      </c>
      <c r="D550">
        <v>3.975</v>
      </c>
      <c r="E550">
        <v>0.0</v>
      </c>
      <c r="F550">
        <v>3.975</v>
      </c>
    </row>
    <row r="551" spans="1:6">
      <c r="A551" s="1" t="s">
        <v>198</v>
      </c>
      <c r="B551" s="3">
        <v>46822</v>
      </c>
      <c r="C551">
        <v>100.0</v>
      </c>
      <c r="D551">
        <v>3.975</v>
      </c>
      <c r="E551">
        <v>0.0</v>
      </c>
      <c r="F551">
        <v>3.975</v>
      </c>
    </row>
    <row r="552" spans="1:6">
      <c r="A552" s="1" t="s">
        <v>198</v>
      </c>
      <c r="B552" s="3">
        <v>47007</v>
      </c>
      <c r="C552">
        <v>100.0</v>
      </c>
      <c r="D552">
        <v>3.975</v>
      </c>
      <c r="E552">
        <v>0.0</v>
      </c>
      <c r="F552">
        <v>3.975</v>
      </c>
    </row>
    <row r="553" spans="1:6">
      <c r="A553" s="1" t="s">
        <v>198</v>
      </c>
      <c r="B553" s="3">
        <v>47189</v>
      </c>
      <c r="C553">
        <v>100.0</v>
      </c>
      <c r="D553">
        <v>3.975</v>
      </c>
      <c r="E553">
        <v>0.0</v>
      </c>
      <c r="F553">
        <v>3.975</v>
      </c>
    </row>
    <row r="554" spans="1:6">
      <c r="A554" s="1" t="s">
        <v>198</v>
      </c>
      <c r="B554" s="3">
        <v>47371</v>
      </c>
      <c r="C554">
        <v>100.0</v>
      </c>
      <c r="D554">
        <v>3.975</v>
      </c>
      <c r="E554">
        <v>0.0</v>
      </c>
      <c r="F554">
        <v>3.975</v>
      </c>
    </row>
    <row r="555" spans="1:6">
      <c r="A555" s="1" t="s">
        <v>198</v>
      </c>
      <c r="B555" s="3">
        <v>47553</v>
      </c>
      <c r="C555">
        <v>100.0</v>
      </c>
      <c r="D555">
        <v>3.975</v>
      </c>
      <c r="E555">
        <v>0.0</v>
      </c>
      <c r="F555">
        <v>3.975</v>
      </c>
    </row>
    <row r="556" spans="1:6">
      <c r="A556" s="1" t="s">
        <v>198</v>
      </c>
      <c r="B556" s="3">
        <v>47736</v>
      </c>
      <c r="C556">
        <v>100.0</v>
      </c>
      <c r="D556">
        <v>3.975</v>
      </c>
      <c r="E556">
        <v>0.0</v>
      </c>
      <c r="F556">
        <v>3.975</v>
      </c>
    </row>
    <row r="557" spans="1:6">
      <c r="A557" s="1" t="s">
        <v>198</v>
      </c>
      <c r="B557" s="3">
        <v>47917</v>
      </c>
      <c r="C557">
        <v>100.0</v>
      </c>
      <c r="D557">
        <v>3.975</v>
      </c>
      <c r="E557">
        <v>0.0</v>
      </c>
      <c r="F557">
        <v>3.975</v>
      </c>
    </row>
    <row r="558" spans="1:6">
      <c r="A558" s="1" t="s">
        <v>198</v>
      </c>
      <c r="B558" s="3">
        <v>48101</v>
      </c>
      <c r="C558">
        <v>0.0</v>
      </c>
      <c r="D558">
        <v>3.975</v>
      </c>
      <c r="E558">
        <v>100.0</v>
      </c>
      <c r="F558">
        <v>103.975</v>
      </c>
    </row>
    <row r="559" spans="1:6">
      <c r="A559" s="1" t="s">
        <v>200</v>
      </c>
      <c r="B559" s="3">
        <v>45825</v>
      </c>
      <c r="C559">
        <v>100.0</v>
      </c>
      <c r="D559">
        <v>3.9375</v>
      </c>
      <c r="E559">
        <v>0.0</v>
      </c>
      <c r="F559">
        <v>3.9375</v>
      </c>
    </row>
    <row r="560" spans="1:6">
      <c r="A560" s="1" t="s">
        <v>200</v>
      </c>
      <c r="B560" s="3">
        <v>46007</v>
      </c>
      <c r="C560">
        <v>100.0</v>
      </c>
      <c r="D560">
        <v>3.9375</v>
      </c>
      <c r="E560">
        <v>0.0</v>
      </c>
      <c r="F560">
        <v>3.9375</v>
      </c>
    </row>
    <row r="561" spans="1:6">
      <c r="A561" s="1" t="s">
        <v>200</v>
      </c>
      <c r="B561" s="3">
        <v>46189</v>
      </c>
      <c r="C561">
        <v>100.0</v>
      </c>
      <c r="D561">
        <v>3.9375</v>
      </c>
      <c r="E561">
        <v>0.0</v>
      </c>
      <c r="F561">
        <v>3.9375</v>
      </c>
    </row>
    <row r="562" spans="1:6">
      <c r="A562" s="1" t="s">
        <v>200</v>
      </c>
      <c r="B562" s="3">
        <v>46372</v>
      </c>
      <c r="C562">
        <v>100.0</v>
      </c>
      <c r="D562">
        <v>3.9375</v>
      </c>
      <c r="E562">
        <v>0.0</v>
      </c>
      <c r="F562">
        <v>3.9375</v>
      </c>
    </row>
    <row r="563" spans="1:6">
      <c r="A563" s="1" t="s">
        <v>200</v>
      </c>
      <c r="B563" s="3">
        <v>46554</v>
      </c>
      <c r="C563">
        <v>100.0</v>
      </c>
      <c r="D563">
        <v>3.9375</v>
      </c>
      <c r="E563">
        <v>0.0</v>
      </c>
      <c r="F563">
        <v>3.9375</v>
      </c>
    </row>
    <row r="564" spans="1:6">
      <c r="A564" s="1" t="s">
        <v>200</v>
      </c>
      <c r="B564" s="3">
        <v>46737</v>
      </c>
      <c r="C564">
        <v>100.0</v>
      </c>
      <c r="D564">
        <v>3.9375</v>
      </c>
      <c r="E564">
        <v>0.0</v>
      </c>
      <c r="F564">
        <v>3.9375</v>
      </c>
    </row>
    <row r="565" spans="1:6">
      <c r="A565" s="1" t="s">
        <v>200</v>
      </c>
      <c r="B565" s="3">
        <v>46920</v>
      </c>
      <c r="C565">
        <v>100.0</v>
      </c>
      <c r="D565">
        <v>3.9375</v>
      </c>
      <c r="E565">
        <v>0.0</v>
      </c>
      <c r="F565">
        <v>3.9375</v>
      </c>
    </row>
    <row r="566" spans="1:6">
      <c r="A566" s="1" t="s">
        <v>200</v>
      </c>
      <c r="B566" s="3">
        <v>47105</v>
      </c>
      <c r="C566">
        <v>100.0</v>
      </c>
      <c r="D566">
        <v>3.9375</v>
      </c>
      <c r="E566">
        <v>0.0</v>
      </c>
      <c r="F566">
        <v>3.9375</v>
      </c>
    </row>
    <row r="567" spans="1:6">
      <c r="A567" s="1" t="s">
        <v>200</v>
      </c>
      <c r="B567" s="3">
        <v>47287</v>
      </c>
      <c r="C567">
        <v>100.0</v>
      </c>
      <c r="D567">
        <v>3.9375</v>
      </c>
      <c r="E567">
        <v>0.0</v>
      </c>
      <c r="F567">
        <v>3.9375</v>
      </c>
    </row>
    <row r="568" spans="1:6">
      <c r="A568" s="1" t="s">
        <v>200</v>
      </c>
      <c r="B568" s="3">
        <v>47469</v>
      </c>
      <c r="C568">
        <v>100.0</v>
      </c>
      <c r="D568">
        <v>3.9375</v>
      </c>
      <c r="E568">
        <v>0.0</v>
      </c>
      <c r="F568">
        <v>3.9375</v>
      </c>
    </row>
    <row r="569" spans="1:6">
      <c r="A569" s="1" t="s">
        <v>200</v>
      </c>
      <c r="B569" s="3">
        <v>47652</v>
      </c>
      <c r="C569">
        <v>100.0</v>
      </c>
      <c r="D569">
        <v>3.9375</v>
      </c>
      <c r="E569">
        <v>0.0</v>
      </c>
      <c r="F569">
        <v>3.9375</v>
      </c>
    </row>
    <row r="570" spans="1:6">
      <c r="A570" s="1" t="s">
        <v>200</v>
      </c>
      <c r="B570" s="3">
        <v>47833</v>
      </c>
      <c r="C570">
        <v>100.0</v>
      </c>
      <c r="D570">
        <v>3.9375</v>
      </c>
      <c r="E570">
        <v>0.0</v>
      </c>
      <c r="F570">
        <v>3.9375</v>
      </c>
    </row>
    <row r="571" spans="1:6">
      <c r="A571" s="1" t="s">
        <v>200</v>
      </c>
      <c r="B571" s="3">
        <v>48016</v>
      </c>
      <c r="C571">
        <v>100.0</v>
      </c>
      <c r="D571">
        <v>3.9375</v>
      </c>
      <c r="E571">
        <v>0.0</v>
      </c>
      <c r="F571">
        <v>3.9375</v>
      </c>
    </row>
    <row r="572" spans="1:6">
      <c r="A572" s="1" t="s">
        <v>200</v>
      </c>
      <c r="B572" s="3">
        <v>48198</v>
      </c>
      <c r="C572">
        <v>100.0</v>
      </c>
      <c r="D572">
        <v>3.9375</v>
      </c>
      <c r="E572">
        <v>0.0</v>
      </c>
      <c r="F572">
        <v>3.9375</v>
      </c>
    </row>
    <row r="573" spans="1:6">
      <c r="A573" s="1" t="s">
        <v>200</v>
      </c>
      <c r="B573" s="3">
        <v>48381</v>
      </c>
      <c r="C573">
        <v>100.0</v>
      </c>
      <c r="D573">
        <v>3.9375</v>
      </c>
      <c r="E573">
        <v>0.0</v>
      </c>
      <c r="F573">
        <v>3.9375</v>
      </c>
    </row>
    <row r="574" spans="1:6">
      <c r="A574" s="1" t="s">
        <v>200</v>
      </c>
      <c r="B574" s="3">
        <v>48564</v>
      </c>
      <c r="C574">
        <v>100.0</v>
      </c>
      <c r="D574">
        <v>3.9375</v>
      </c>
      <c r="E574">
        <v>0.0</v>
      </c>
      <c r="F574">
        <v>3.9375</v>
      </c>
    </row>
    <row r="575" spans="1:6">
      <c r="A575" s="1" t="s">
        <v>200</v>
      </c>
      <c r="B575" s="3">
        <v>48746</v>
      </c>
      <c r="C575">
        <v>100.0</v>
      </c>
      <c r="D575">
        <v>3.9375</v>
      </c>
      <c r="E575">
        <v>0.0</v>
      </c>
      <c r="F575">
        <v>3.9375</v>
      </c>
    </row>
    <row r="576" spans="1:6">
      <c r="A576" s="1" t="s">
        <v>200</v>
      </c>
      <c r="B576" s="3">
        <v>48929</v>
      </c>
      <c r="C576">
        <v>100.0</v>
      </c>
      <c r="D576">
        <v>3.9375</v>
      </c>
      <c r="E576">
        <v>0.0</v>
      </c>
      <c r="F576">
        <v>3.9375</v>
      </c>
    </row>
    <row r="577" spans="1:6">
      <c r="A577" s="1" t="s">
        <v>200</v>
      </c>
      <c r="B577" s="3">
        <v>49111</v>
      </c>
      <c r="C577">
        <v>100.0</v>
      </c>
      <c r="D577">
        <v>3.9375</v>
      </c>
      <c r="E577">
        <v>0.0</v>
      </c>
      <c r="F577">
        <v>3.9375</v>
      </c>
    </row>
    <row r="578" spans="1:6">
      <c r="A578" s="1" t="s">
        <v>200</v>
      </c>
      <c r="B578" s="3">
        <v>49296</v>
      </c>
      <c r="C578">
        <v>0.0</v>
      </c>
      <c r="D578">
        <v>3.9375</v>
      </c>
      <c r="E578">
        <v>100.0</v>
      </c>
      <c r="F578">
        <v>103.9375</v>
      </c>
    </row>
    <row r="579" spans="1:6">
      <c r="A579" s="1" t="s">
        <v>255</v>
      </c>
      <c r="B579" s="3">
        <v>46059</v>
      </c>
      <c r="C579">
        <v>100.0</v>
      </c>
      <c r="D579">
        <v>3.654795</v>
      </c>
      <c r="E579">
        <v>0.0</v>
      </c>
      <c r="F579">
        <v>3.654795</v>
      </c>
    </row>
    <row r="580" spans="1:6">
      <c r="A580" s="1" t="s">
        <v>255</v>
      </c>
      <c r="B580" s="3">
        <v>46240</v>
      </c>
      <c r="C580">
        <v>100.0</v>
      </c>
      <c r="D580">
        <v>3.595205</v>
      </c>
      <c r="E580">
        <v>0.0</v>
      </c>
      <c r="F580">
        <v>3.595205</v>
      </c>
    </row>
    <row r="581" spans="1:6">
      <c r="A581" s="1" t="s">
        <v>255</v>
      </c>
      <c r="B581" s="3">
        <v>46428</v>
      </c>
      <c r="C581">
        <v>100.0</v>
      </c>
      <c r="D581">
        <v>3.654795</v>
      </c>
      <c r="E581">
        <v>0.0</v>
      </c>
      <c r="F581">
        <v>3.654795</v>
      </c>
    </row>
    <row r="582" spans="1:6">
      <c r="A582" s="1" t="s">
        <v>255</v>
      </c>
      <c r="B582" s="3">
        <v>46605</v>
      </c>
      <c r="C582">
        <v>100.0</v>
      </c>
      <c r="D582">
        <v>3.595205</v>
      </c>
      <c r="E582">
        <v>0.0</v>
      </c>
      <c r="F582">
        <v>3.595205</v>
      </c>
    </row>
    <row r="583" spans="1:6">
      <c r="A583" s="1" t="s">
        <v>255</v>
      </c>
      <c r="B583" s="3">
        <v>46790</v>
      </c>
      <c r="C583">
        <v>100.0</v>
      </c>
      <c r="D583">
        <v>3.654795</v>
      </c>
      <c r="E583">
        <v>0.0</v>
      </c>
      <c r="F583">
        <v>3.654795</v>
      </c>
    </row>
    <row r="584" spans="1:6">
      <c r="A584" s="1" t="s">
        <v>255</v>
      </c>
      <c r="B584" s="3">
        <v>46972</v>
      </c>
      <c r="C584">
        <v>0.0</v>
      </c>
      <c r="D584">
        <v>3.634932</v>
      </c>
      <c r="E584">
        <v>100.0</v>
      </c>
      <c r="F584">
        <v>103.634932</v>
      </c>
    </row>
    <row r="585" spans="1:6">
      <c r="A585" s="1" t="s">
        <v>202</v>
      </c>
      <c r="B585" s="3">
        <v>46156</v>
      </c>
      <c r="C585">
        <v>100.0</v>
      </c>
      <c r="D585">
        <v>3.875</v>
      </c>
      <c r="E585">
        <v>0.0</v>
      </c>
      <c r="F585">
        <v>3.875</v>
      </c>
    </row>
    <row r="586" spans="1:6">
      <c r="A586" s="1" t="s">
        <v>202</v>
      </c>
      <c r="B586" s="3">
        <v>46342</v>
      </c>
      <c r="C586">
        <v>100.0</v>
      </c>
      <c r="D586">
        <v>3.875</v>
      </c>
      <c r="E586">
        <v>0.0</v>
      </c>
      <c r="F586">
        <v>3.875</v>
      </c>
    </row>
    <row r="587" spans="1:6">
      <c r="A587" s="1" t="s">
        <v>202</v>
      </c>
      <c r="B587" s="3">
        <v>46521</v>
      </c>
      <c r="C587">
        <v>100.0</v>
      </c>
      <c r="D587">
        <v>3.875</v>
      </c>
      <c r="E587">
        <v>0.0</v>
      </c>
      <c r="F587">
        <v>3.875</v>
      </c>
    </row>
    <row r="588" spans="1:6">
      <c r="A588" s="1" t="s">
        <v>202</v>
      </c>
      <c r="B588" s="3">
        <v>46706</v>
      </c>
      <c r="C588">
        <v>100.0</v>
      </c>
      <c r="D588">
        <v>3.875</v>
      </c>
      <c r="E588">
        <v>0.0</v>
      </c>
      <c r="F588">
        <v>3.875</v>
      </c>
    </row>
    <row r="589" spans="1:6">
      <c r="A589" s="1" t="s">
        <v>202</v>
      </c>
      <c r="B589" s="3">
        <v>46888</v>
      </c>
      <c r="C589">
        <v>100.0</v>
      </c>
      <c r="D589">
        <v>3.875</v>
      </c>
      <c r="E589">
        <v>0.0</v>
      </c>
      <c r="F589">
        <v>3.875</v>
      </c>
    </row>
    <row r="590" spans="1:6">
      <c r="A590" s="1" t="s">
        <v>202</v>
      </c>
      <c r="B590" s="3">
        <v>47071</v>
      </c>
      <c r="C590">
        <v>100.0</v>
      </c>
      <c r="D590">
        <v>3.875</v>
      </c>
      <c r="E590">
        <v>0.0</v>
      </c>
      <c r="F590">
        <v>3.875</v>
      </c>
    </row>
    <row r="591" spans="1:6">
      <c r="A591" s="1" t="s">
        <v>202</v>
      </c>
      <c r="B591" s="3">
        <v>47252</v>
      </c>
      <c r="C591">
        <v>100.0</v>
      </c>
      <c r="D591">
        <v>3.875</v>
      </c>
      <c r="E591">
        <v>0.0</v>
      </c>
      <c r="F591">
        <v>3.875</v>
      </c>
    </row>
    <row r="592" spans="1:6">
      <c r="A592" s="1" t="s">
        <v>202</v>
      </c>
      <c r="B592" s="3">
        <v>47436</v>
      </c>
      <c r="C592">
        <v>100.0</v>
      </c>
      <c r="D592">
        <v>3.875</v>
      </c>
      <c r="E592">
        <v>0.0</v>
      </c>
      <c r="F592">
        <v>3.875</v>
      </c>
    </row>
    <row r="593" spans="1:6">
      <c r="A593" s="1" t="s">
        <v>202</v>
      </c>
      <c r="B593" s="3">
        <v>47617</v>
      </c>
      <c r="C593">
        <v>100.0</v>
      </c>
      <c r="D593">
        <v>3.875</v>
      </c>
      <c r="E593">
        <v>0.0</v>
      </c>
      <c r="F593">
        <v>3.875</v>
      </c>
    </row>
    <row r="594" spans="1:6">
      <c r="A594" s="1" t="s">
        <v>202</v>
      </c>
      <c r="B594" s="3">
        <v>47801</v>
      </c>
      <c r="C594">
        <v>100.0</v>
      </c>
      <c r="D594">
        <v>3.875</v>
      </c>
      <c r="E594">
        <v>0.0</v>
      </c>
      <c r="F594">
        <v>3.875</v>
      </c>
    </row>
    <row r="595" spans="1:6">
      <c r="A595" s="1" t="s">
        <v>202</v>
      </c>
      <c r="B595" s="3">
        <v>47982</v>
      </c>
      <c r="C595">
        <v>100.0</v>
      </c>
      <c r="D595">
        <v>3.875</v>
      </c>
      <c r="E595">
        <v>0.0</v>
      </c>
      <c r="F595">
        <v>3.875</v>
      </c>
    </row>
    <row r="596" spans="1:6">
      <c r="A596" s="1" t="s">
        <v>202</v>
      </c>
      <c r="B596" s="3">
        <v>48166</v>
      </c>
      <c r="C596">
        <v>100.0</v>
      </c>
      <c r="D596">
        <v>3.875</v>
      </c>
      <c r="E596">
        <v>0.0</v>
      </c>
      <c r="F596">
        <v>3.875</v>
      </c>
    </row>
    <row r="597" spans="1:6">
      <c r="A597" s="1" t="s">
        <v>202</v>
      </c>
      <c r="B597" s="3">
        <v>48348</v>
      </c>
      <c r="C597">
        <v>100.0</v>
      </c>
      <c r="D597">
        <v>3.875</v>
      </c>
      <c r="E597">
        <v>0.0</v>
      </c>
      <c r="F597">
        <v>3.875</v>
      </c>
    </row>
    <row r="598" spans="1:6">
      <c r="A598" s="1" t="s">
        <v>202</v>
      </c>
      <c r="B598" s="3">
        <v>48533</v>
      </c>
      <c r="C598">
        <v>100.0</v>
      </c>
      <c r="D598">
        <v>3.875</v>
      </c>
      <c r="E598">
        <v>0.0</v>
      </c>
      <c r="F598">
        <v>3.875</v>
      </c>
    </row>
    <row r="599" spans="1:6">
      <c r="A599" s="1" t="s">
        <v>202</v>
      </c>
      <c r="B599" s="3">
        <v>48715</v>
      </c>
      <c r="C599">
        <v>100.0</v>
      </c>
      <c r="D599">
        <v>3.875</v>
      </c>
      <c r="E599">
        <v>0.0</v>
      </c>
      <c r="F599">
        <v>3.875</v>
      </c>
    </row>
    <row r="600" spans="1:6">
      <c r="A600" s="1" t="s">
        <v>202</v>
      </c>
      <c r="B600" s="3">
        <v>48897</v>
      </c>
      <c r="C600">
        <v>100.0</v>
      </c>
      <c r="D600">
        <v>3.875</v>
      </c>
      <c r="E600">
        <v>0.0</v>
      </c>
      <c r="F600">
        <v>3.875</v>
      </c>
    </row>
    <row r="601" spans="1:6">
      <c r="A601" s="1" t="s">
        <v>202</v>
      </c>
      <c r="B601" s="3">
        <v>49079</v>
      </c>
      <c r="C601">
        <v>100.0</v>
      </c>
      <c r="D601">
        <v>3.875</v>
      </c>
      <c r="E601">
        <v>0.0</v>
      </c>
      <c r="F601">
        <v>3.875</v>
      </c>
    </row>
    <row r="602" spans="1:6">
      <c r="A602" s="1" t="s">
        <v>202</v>
      </c>
      <c r="B602" s="3">
        <v>49262</v>
      </c>
      <c r="C602">
        <v>100.0</v>
      </c>
      <c r="D602">
        <v>3.875</v>
      </c>
      <c r="E602">
        <v>0.0</v>
      </c>
      <c r="F602">
        <v>3.875</v>
      </c>
    </row>
    <row r="603" spans="1:6">
      <c r="A603" s="1" t="s">
        <v>202</v>
      </c>
      <c r="B603" s="3">
        <v>49443</v>
      </c>
      <c r="C603">
        <v>100.0</v>
      </c>
      <c r="D603">
        <v>3.875</v>
      </c>
      <c r="E603">
        <v>0.0</v>
      </c>
      <c r="F603">
        <v>3.875</v>
      </c>
    </row>
    <row r="604" spans="1:6">
      <c r="A604" s="1" t="s">
        <v>202</v>
      </c>
      <c r="B604" s="3">
        <v>49627</v>
      </c>
      <c r="C604">
        <v>100.0</v>
      </c>
      <c r="D604">
        <v>3.875</v>
      </c>
      <c r="E604">
        <v>0.0</v>
      </c>
      <c r="F604">
        <v>3.875</v>
      </c>
    </row>
    <row r="605" spans="1:6">
      <c r="A605" s="1" t="s">
        <v>202</v>
      </c>
      <c r="B605" s="3">
        <v>49809</v>
      </c>
      <c r="C605">
        <v>100.0</v>
      </c>
      <c r="D605">
        <v>3.875</v>
      </c>
      <c r="E605">
        <v>0.0</v>
      </c>
      <c r="F605">
        <v>3.875</v>
      </c>
    </row>
    <row r="606" spans="1:6">
      <c r="A606" s="1" t="s">
        <v>202</v>
      </c>
      <c r="B606" s="3">
        <v>49993</v>
      </c>
      <c r="C606">
        <v>100.0</v>
      </c>
      <c r="D606">
        <v>3.875</v>
      </c>
      <c r="E606">
        <v>0.0</v>
      </c>
      <c r="F606">
        <v>3.875</v>
      </c>
    </row>
    <row r="607" spans="1:6">
      <c r="A607" s="1" t="s">
        <v>202</v>
      </c>
      <c r="B607" s="3">
        <v>50174</v>
      </c>
      <c r="C607">
        <v>100.0</v>
      </c>
      <c r="D607">
        <v>3.875</v>
      </c>
      <c r="E607">
        <v>0.0</v>
      </c>
      <c r="F607">
        <v>3.875</v>
      </c>
    </row>
    <row r="608" spans="1:6">
      <c r="A608" s="1" t="s">
        <v>202</v>
      </c>
      <c r="B608" s="3">
        <v>50360</v>
      </c>
      <c r="C608">
        <v>0.0</v>
      </c>
      <c r="D608">
        <v>3.875</v>
      </c>
      <c r="E608">
        <v>100.0</v>
      </c>
      <c r="F608">
        <v>103.875</v>
      </c>
    </row>
    <row r="609" spans="1:6">
      <c r="A609" s="1" t="s">
        <v>257</v>
      </c>
      <c r="B609" s="3">
        <v>46296</v>
      </c>
      <c r="C609">
        <v>100.0</v>
      </c>
      <c r="D609">
        <v>2.752521</v>
      </c>
      <c r="E609">
        <v>0.0</v>
      </c>
      <c r="F609">
        <v>2.752521</v>
      </c>
    </row>
    <row r="610" spans="1:6">
      <c r="A610" s="1" t="s">
        <v>257</v>
      </c>
      <c r="B610" s="3">
        <v>46478</v>
      </c>
      <c r="C610">
        <v>100.0</v>
      </c>
      <c r="D610">
        <v>2.737479</v>
      </c>
      <c r="E610">
        <v>0.0</v>
      </c>
      <c r="F610">
        <v>2.737479</v>
      </c>
    </row>
    <row r="611" spans="1:6">
      <c r="A611" s="1" t="s">
        <v>257</v>
      </c>
      <c r="B611" s="3">
        <v>46661</v>
      </c>
      <c r="C611">
        <v>100.0</v>
      </c>
      <c r="D611">
        <v>2.752521</v>
      </c>
      <c r="E611">
        <v>0.0</v>
      </c>
      <c r="F611">
        <v>2.752521</v>
      </c>
    </row>
    <row r="612" spans="1:6">
      <c r="A612" s="1" t="s">
        <v>257</v>
      </c>
      <c r="B612" s="3">
        <v>46846</v>
      </c>
      <c r="C612">
        <v>100.0</v>
      </c>
      <c r="D612">
        <v>2.752521</v>
      </c>
      <c r="E612">
        <v>0.0</v>
      </c>
      <c r="F612">
        <v>2.752521</v>
      </c>
    </row>
    <row r="613" spans="1:6">
      <c r="A613" s="1" t="s">
        <v>257</v>
      </c>
      <c r="B613" s="3">
        <v>47028</v>
      </c>
      <c r="C613">
        <v>100.0</v>
      </c>
      <c r="D613">
        <v>2.752521</v>
      </c>
      <c r="E613">
        <v>0.0</v>
      </c>
      <c r="F613">
        <v>2.752521</v>
      </c>
    </row>
    <row r="614" spans="1:6">
      <c r="A614" s="1" t="s">
        <v>257</v>
      </c>
      <c r="B614" s="3">
        <v>47211</v>
      </c>
      <c r="C614">
        <v>0.0</v>
      </c>
      <c r="D614">
        <v>2.767562</v>
      </c>
      <c r="E614">
        <v>100.0</v>
      </c>
      <c r="F614">
        <v>102.767562</v>
      </c>
    </row>
    <row r="615" spans="1:6">
      <c r="A615" s="1" t="s">
        <v>294</v>
      </c>
      <c r="B615" s="3">
        <v>46262</v>
      </c>
      <c r="C615">
        <v>100.0</v>
      </c>
      <c r="D615">
        <v>2.016438</v>
      </c>
      <c r="E615">
        <v>0.0</v>
      </c>
      <c r="F615">
        <v>2.016438</v>
      </c>
    </row>
    <row r="616" spans="1:6">
      <c r="A616" s="1" t="s">
        <v>294</v>
      </c>
      <c r="B616" s="3">
        <v>46356</v>
      </c>
      <c r="C616">
        <v>100.0</v>
      </c>
      <c r="D616">
        <v>2.016438</v>
      </c>
      <c r="E616">
        <v>0.0</v>
      </c>
      <c r="F616">
        <v>2.016438</v>
      </c>
    </row>
    <row r="617" spans="1:6">
      <c r="A617" s="1" t="s">
        <v>294</v>
      </c>
      <c r="B617" s="3">
        <v>46447</v>
      </c>
      <c r="C617">
        <v>100.0</v>
      </c>
      <c r="D617">
        <v>2.016438</v>
      </c>
      <c r="E617">
        <v>0.0</v>
      </c>
      <c r="F617">
        <v>2.016438</v>
      </c>
    </row>
    <row r="618" spans="1:6">
      <c r="A618" s="1" t="s">
        <v>294</v>
      </c>
      <c r="B618" s="3">
        <v>46535</v>
      </c>
      <c r="C618">
        <v>100.0</v>
      </c>
      <c r="D618">
        <v>1.950685</v>
      </c>
      <c r="E618">
        <v>0.0</v>
      </c>
      <c r="F618">
        <v>1.950685</v>
      </c>
    </row>
    <row r="619" spans="1:6">
      <c r="A619" s="1" t="s">
        <v>294</v>
      </c>
      <c r="B619" s="3">
        <v>46629</v>
      </c>
      <c r="C619">
        <v>100.0</v>
      </c>
      <c r="D619">
        <v>2.016438</v>
      </c>
      <c r="E619">
        <v>0.0</v>
      </c>
      <c r="F619">
        <v>2.016438</v>
      </c>
    </row>
    <row r="620" spans="1:6">
      <c r="A620" s="1" t="s">
        <v>294</v>
      </c>
      <c r="B620" s="3">
        <v>46720</v>
      </c>
      <c r="C620">
        <v>100.0</v>
      </c>
      <c r="D620">
        <v>2.016438</v>
      </c>
      <c r="E620">
        <v>0.0</v>
      </c>
      <c r="F620">
        <v>2.016438</v>
      </c>
    </row>
    <row r="621" spans="1:6">
      <c r="A621" s="1" t="s">
        <v>294</v>
      </c>
      <c r="B621" s="3">
        <v>46813</v>
      </c>
      <c r="C621">
        <v>100.0</v>
      </c>
      <c r="D621">
        <v>2.016438</v>
      </c>
      <c r="E621">
        <v>0.0</v>
      </c>
      <c r="F621">
        <v>2.016438</v>
      </c>
    </row>
    <row r="622" spans="1:6">
      <c r="A622" s="1" t="s">
        <v>294</v>
      </c>
      <c r="B622" s="3">
        <v>46902</v>
      </c>
      <c r="C622">
        <v>0.0</v>
      </c>
      <c r="D622">
        <v>1.994521</v>
      </c>
      <c r="E622">
        <v>100.0</v>
      </c>
      <c r="F622">
        <v>101.994521</v>
      </c>
    </row>
    <row r="623" spans="1:6">
      <c r="A623" s="1" t="s">
        <v>453</v>
      </c>
      <c r="B623" s="3">
        <v>46386</v>
      </c>
      <c r="C623">
        <v>100.0</v>
      </c>
      <c r="D623">
        <v>1.689041</v>
      </c>
      <c r="E623">
        <v>0.0</v>
      </c>
      <c r="F623">
        <v>1.689041</v>
      </c>
    </row>
    <row r="624" spans="1:6">
      <c r="A624" s="1" t="s">
        <v>453</v>
      </c>
      <c r="B624" s="3">
        <v>46568</v>
      </c>
      <c r="C624">
        <v>100.0</v>
      </c>
      <c r="D624">
        <v>1.121918</v>
      </c>
      <c r="E624">
        <v>0.0</v>
      </c>
      <c r="F624">
        <v>1.121918</v>
      </c>
    </row>
    <row r="625" spans="1:6">
      <c r="A625" s="1" t="s">
        <v>453</v>
      </c>
      <c r="B625" s="3">
        <v>46751</v>
      </c>
      <c r="C625">
        <v>100.0</v>
      </c>
      <c r="D625">
        <v>1.128082</v>
      </c>
      <c r="E625">
        <v>0.0</v>
      </c>
      <c r="F625">
        <v>1.128082</v>
      </c>
    </row>
    <row r="626" spans="1:6">
      <c r="A626" s="1" t="s">
        <v>453</v>
      </c>
      <c r="B626" s="3">
        <v>46934</v>
      </c>
      <c r="C626">
        <v>100.0</v>
      </c>
      <c r="D626">
        <v>1.128082</v>
      </c>
      <c r="E626">
        <v>0.0</v>
      </c>
      <c r="F626">
        <v>1.128082</v>
      </c>
    </row>
    <row r="627" spans="1:6">
      <c r="A627" s="1" t="s">
        <v>453</v>
      </c>
      <c r="B627" s="3">
        <v>47120</v>
      </c>
      <c r="C627">
        <v>100.0</v>
      </c>
      <c r="D627">
        <v>1.128082</v>
      </c>
      <c r="E627">
        <v>0.0</v>
      </c>
      <c r="F627">
        <v>1.128082</v>
      </c>
    </row>
    <row r="628" spans="1:6">
      <c r="A628" s="1" t="s">
        <v>453</v>
      </c>
      <c r="B628" s="3">
        <v>47301</v>
      </c>
      <c r="C628">
        <v>100.0</v>
      </c>
      <c r="D628">
        <v>1.121918</v>
      </c>
      <c r="E628">
        <v>0.0</v>
      </c>
      <c r="F628">
        <v>1.121918</v>
      </c>
    </row>
    <row r="629" spans="1:6">
      <c r="A629" s="1" t="s">
        <v>453</v>
      </c>
      <c r="B629" s="3">
        <v>47483</v>
      </c>
      <c r="C629">
        <v>100.0</v>
      </c>
      <c r="D629">
        <v>1.128082</v>
      </c>
      <c r="E629">
        <v>0.0</v>
      </c>
      <c r="F629">
        <v>1.128082</v>
      </c>
    </row>
    <row r="630" spans="1:6">
      <c r="A630" s="1" t="s">
        <v>453</v>
      </c>
      <c r="B630" s="3">
        <v>47665</v>
      </c>
      <c r="C630">
        <v>100.0</v>
      </c>
      <c r="D630">
        <v>1.121918</v>
      </c>
      <c r="E630">
        <v>0.0</v>
      </c>
      <c r="F630">
        <v>1.121918</v>
      </c>
    </row>
    <row r="631" spans="1:6">
      <c r="A631" s="1" t="s">
        <v>453</v>
      </c>
      <c r="B631" s="3">
        <v>47847</v>
      </c>
      <c r="C631">
        <v>100.0</v>
      </c>
      <c r="D631">
        <v>1.50411</v>
      </c>
      <c r="E631">
        <v>0.0</v>
      </c>
      <c r="F631">
        <v>1.50411</v>
      </c>
    </row>
    <row r="632" spans="1:6">
      <c r="A632" s="1" t="s">
        <v>453</v>
      </c>
      <c r="B632" s="3">
        <v>48029</v>
      </c>
      <c r="C632">
        <v>100.0</v>
      </c>
      <c r="D632">
        <v>1.49589</v>
      </c>
      <c r="E632">
        <v>0.0</v>
      </c>
      <c r="F632">
        <v>1.49589</v>
      </c>
    </row>
    <row r="633" spans="1:6">
      <c r="A633" s="1" t="s">
        <v>453</v>
      </c>
      <c r="B633" s="3">
        <v>48212</v>
      </c>
      <c r="C633">
        <v>100.0</v>
      </c>
      <c r="D633">
        <v>1.50411</v>
      </c>
      <c r="E633">
        <v>0.0</v>
      </c>
      <c r="F633">
        <v>1.50411</v>
      </c>
    </row>
    <row r="634" spans="1:6">
      <c r="A634" s="1" t="s">
        <v>453</v>
      </c>
      <c r="B634" s="3">
        <v>48395</v>
      </c>
      <c r="C634">
        <v>100.0</v>
      </c>
      <c r="D634">
        <v>1.50411</v>
      </c>
      <c r="E634">
        <v>0.0</v>
      </c>
      <c r="F634">
        <v>1.50411</v>
      </c>
    </row>
    <row r="635" spans="1:6">
      <c r="A635" s="1" t="s">
        <v>453</v>
      </c>
      <c r="B635" s="3">
        <v>48578</v>
      </c>
      <c r="C635">
        <v>100.0</v>
      </c>
      <c r="D635">
        <v>1.50411</v>
      </c>
      <c r="E635">
        <v>0.0</v>
      </c>
      <c r="F635">
        <v>1.50411</v>
      </c>
    </row>
    <row r="636" spans="1:6">
      <c r="A636" s="1" t="s">
        <v>453</v>
      </c>
      <c r="B636" s="3">
        <v>48760</v>
      </c>
      <c r="C636">
        <v>100.0</v>
      </c>
      <c r="D636">
        <v>1.49589</v>
      </c>
      <c r="E636">
        <v>0.0</v>
      </c>
      <c r="F636">
        <v>1.49589</v>
      </c>
    </row>
    <row r="637" spans="1:6">
      <c r="A637" s="1" t="s">
        <v>453</v>
      </c>
      <c r="B637" s="3">
        <v>48943</v>
      </c>
      <c r="C637">
        <v>95.0</v>
      </c>
      <c r="D637">
        <v>1.50411</v>
      </c>
      <c r="E637">
        <v>5.0</v>
      </c>
      <c r="F637">
        <v>6.50411</v>
      </c>
    </row>
    <row r="638" spans="1:6">
      <c r="A638" s="1" t="s">
        <v>453</v>
      </c>
      <c r="B638" s="3">
        <v>49125</v>
      </c>
      <c r="C638">
        <v>85.0</v>
      </c>
      <c r="D638">
        <v>1.421096</v>
      </c>
      <c r="E638">
        <v>10.0</v>
      </c>
      <c r="F638">
        <v>11.421096</v>
      </c>
    </row>
    <row r="639" spans="1:6">
      <c r="A639" s="1" t="s">
        <v>453</v>
      </c>
      <c r="B639" s="3">
        <v>49311</v>
      </c>
      <c r="C639">
        <v>75.0</v>
      </c>
      <c r="D639">
        <v>1.704658</v>
      </c>
      <c r="E639">
        <v>10.0</v>
      </c>
      <c r="F639">
        <v>11.704658</v>
      </c>
    </row>
    <row r="640" spans="1:6">
      <c r="A640" s="1" t="s">
        <v>453</v>
      </c>
      <c r="B640" s="3">
        <v>49492</v>
      </c>
      <c r="C640">
        <v>65.0</v>
      </c>
      <c r="D640">
        <v>1.49589</v>
      </c>
      <c r="E640">
        <v>10.0</v>
      </c>
      <c r="F640">
        <v>11.49589</v>
      </c>
    </row>
    <row r="641" spans="1:6">
      <c r="A641" s="1" t="s">
        <v>453</v>
      </c>
      <c r="B641" s="3">
        <v>49674</v>
      </c>
      <c r="C641">
        <v>55.0</v>
      </c>
      <c r="D641">
        <v>1.303562</v>
      </c>
      <c r="E641">
        <v>10.0</v>
      </c>
      <c r="F641">
        <v>11.303562</v>
      </c>
    </row>
    <row r="642" spans="1:6">
      <c r="A642" s="1" t="s">
        <v>453</v>
      </c>
      <c r="B642" s="3">
        <v>49856</v>
      </c>
      <c r="C642">
        <v>0.0</v>
      </c>
      <c r="D642">
        <v>1.103014</v>
      </c>
      <c r="E642">
        <v>55.0</v>
      </c>
      <c r="F642">
        <v>56.103014</v>
      </c>
    </row>
    <row r="643" spans="1:6">
      <c r="A643" s="1" t="s">
        <v>186</v>
      </c>
      <c r="B643" s="3">
        <v>46391</v>
      </c>
      <c r="C643">
        <v>97.0</v>
      </c>
      <c r="D643">
        <v>4.270833</v>
      </c>
      <c r="E643">
        <v>3.0</v>
      </c>
      <c r="F643">
        <v>7.270833</v>
      </c>
    </row>
    <row r="644" spans="1:6">
      <c r="A644" s="1" t="s">
        <v>186</v>
      </c>
      <c r="B644" s="3">
        <v>46568</v>
      </c>
      <c r="C644">
        <v>94.0</v>
      </c>
      <c r="D644">
        <v>3.6375</v>
      </c>
      <c r="E644">
        <v>3.0</v>
      </c>
      <c r="F644">
        <v>6.6375</v>
      </c>
    </row>
    <row r="645" spans="1:6">
      <c r="A645" s="1" t="s">
        <v>186</v>
      </c>
      <c r="B645" s="3">
        <v>46752</v>
      </c>
      <c r="C645">
        <v>89.0</v>
      </c>
      <c r="D645">
        <v>3.525</v>
      </c>
      <c r="E645">
        <v>5.0</v>
      </c>
      <c r="F645">
        <v>8.525</v>
      </c>
    </row>
    <row r="646" spans="1:6">
      <c r="A646" s="1" t="s">
        <v>186</v>
      </c>
      <c r="B646" s="3">
        <v>46934</v>
      </c>
      <c r="C646">
        <v>83.0</v>
      </c>
      <c r="D646">
        <v>3.3375</v>
      </c>
      <c r="E646">
        <v>6.0</v>
      </c>
      <c r="F646">
        <v>9.3375</v>
      </c>
    </row>
    <row r="647" spans="1:6">
      <c r="A647" s="1" t="s">
        <v>186</v>
      </c>
      <c r="B647" s="3">
        <v>47120</v>
      </c>
      <c r="C647">
        <v>77.0</v>
      </c>
      <c r="D647">
        <v>3.32</v>
      </c>
      <c r="E647">
        <v>6.0</v>
      </c>
      <c r="F647">
        <v>9.32</v>
      </c>
    </row>
    <row r="648" spans="1:6">
      <c r="A648" s="1" t="s">
        <v>186</v>
      </c>
      <c r="B648" s="3">
        <v>47301</v>
      </c>
      <c r="C648">
        <v>71.0</v>
      </c>
      <c r="D648">
        <v>3.08</v>
      </c>
      <c r="E648">
        <v>6.0</v>
      </c>
      <c r="F648">
        <v>9.08</v>
      </c>
    </row>
    <row r="649" spans="1:6">
      <c r="A649" s="1" t="s">
        <v>186</v>
      </c>
      <c r="B649" s="3">
        <v>47483</v>
      </c>
      <c r="C649">
        <v>65.0</v>
      </c>
      <c r="D649">
        <v>2.84</v>
      </c>
      <c r="E649">
        <v>6.0</v>
      </c>
      <c r="F649">
        <v>8.84</v>
      </c>
    </row>
    <row r="650" spans="1:6">
      <c r="A650" s="1" t="s">
        <v>186</v>
      </c>
      <c r="B650" s="3">
        <v>47665</v>
      </c>
      <c r="C650">
        <v>59.0</v>
      </c>
      <c r="D650">
        <v>2.6</v>
      </c>
      <c r="E650">
        <v>6.0</v>
      </c>
      <c r="F650">
        <v>8.6</v>
      </c>
    </row>
    <row r="651" spans="1:6">
      <c r="A651" s="1" t="s">
        <v>186</v>
      </c>
      <c r="B651" s="3">
        <v>47848</v>
      </c>
      <c r="C651">
        <v>53.0</v>
      </c>
      <c r="D651">
        <v>2.655</v>
      </c>
      <c r="E651">
        <v>6.0</v>
      </c>
      <c r="F651">
        <v>8.655</v>
      </c>
    </row>
    <row r="652" spans="1:6">
      <c r="A652" s="1" t="s">
        <v>186</v>
      </c>
      <c r="B652" s="3">
        <v>48029</v>
      </c>
      <c r="C652">
        <v>47.0</v>
      </c>
      <c r="D652">
        <v>2.385</v>
      </c>
      <c r="E652">
        <v>6.0</v>
      </c>
      <c r="F652">
        <v>8.385</v>
      </c>
    </row>
    <row r="653" spans="1:6">
      <c r="A653" s="1" t="s">
        <v>186</v>
      </c>
      <c r="B653" s="3">
        <v>48213</v>
      </c>
      <c r="C653">
        <v>41.0</v>
      </c>
      <c r="D653">
        <v>2.115</v>
      </c>
      <c r="E653">
        <v>6.0</v>
      </c>
      <c r="F653">
        <v>8.115</v>
      </c>
    </row>
    <row r="654" spans="1:6">
      <c r="A654" s="1" t="s">
        <v>186</v>
      </c>
      <c r="B654" s="3">
        <v>48395</v>
      </c>
      <c r="C654">
        <v>35.0</v>
      </c>
      <c r="D654">
        <v>1.845</v>
      </c>
      <c r="E654">
        <v>6.0</v>
      </c>
      <c r="F654">
        <v>7.845</v>
      </c>
    </row>
    <row r="655" spans="1:6">
      <c r="A655" s="1" t="s">
        <v>186</v>
      </c>
      <c r="B655" s="3">
        <v>48579</v>
      </c>
      <c r="C655">
        <v>29.0</v>
      </c>
      <c r="D655">
        <v>1.575</v>
      </c>
      <c r="E655">
        <v>6.0</v>
      </c>
      <c r="F655">
        <v>7.575</v>
      </c>
    </row>
    <row r="656" spans="1:6">
      <c r="A656" s="1" t="s">
        <v>186</v>
      </c>
      <c r="B656" s="3">
        <v>48760</v>
      </c>
      <c r="C656">
        <v>22.0</v>
      </c>
      <c r="D656">
        <v>1.305</v>
      </c>
      <c r="E656">
        <v>7.0</v>
      </c>
      <c r="F656">
        <v>8.305</v>
      </c>
    </row>
    <row r="657" spans="1:6">
      <c r="A657" s="1" t="s">
        <v>186</v>
      </c>
      <c r="B657" s="3">
        <v>48946</v>
      </c>
      <c r="C657">
        <v>15.0</v>
      </c>
      <c r="D657">
        <v>0.99</v>
      </c>
      <c r="E657">
        <v>7.0</v>
      </c>
      <c r="F657">
        <v>7.99</v>
      </c>
    </row>
    <row r="658" spans="1:6">
      <c r="A658" s="1" t="s">
        <v>186</v>
      </c>
      <c r="B658" s="3">
        <v>49125</v>
      </c>
      <c r="C658">
        <v>7.5</v>
      </c>
      <c r="D658">
        <v>0.675</v>
      </c>
      <c r="E658">
        <v>7.5</v>
      </c>
      <c r="F658">
        <v>8.175</v>
      </c>
    </row>
    <row r="659" spans="1:6">
      <c r="A659" s="1" t="s">
        <v>186</v>
      </c>
      <c r="B659" s="3">
        <v>49311</v>
      </c>
      <c r="C659">
        <v>0.0</v>
      </c>
      <c r="D659">
        <v>0.3375</v>
      </c>
      <c r="E659">
        <v>7.5</v>
      </c>
      <c r="F659">
        <v>7.8375</v>
      </c>
    </row>
    <row r="660" spans="1:6">
      <c r="A660" s="1" t="s">
        <v>142</v>
      </c>
      <c r="B660" s="3">
        <v>44284</v>
      </c>
      <c r="C660">
        <v>100.0</v>
      </c>
      <c r="D660">
        <v>0.773264</v>
      </c>
      <c r="E660">
        <v>0.0</v>
      </c>
      <c r="F660">
        <v>0.773264</v>
      </c>
    </row>
    <row r="661" spans="1:6">
      <c r="A661" s="1" t="s">
        <v>142</v>
      </c>
      <c r="B661" s="3">
        <v>44468</v>
      </c>
      <c r="C661">
        <v>100.0</v>
      </c>
      <c r="D661">
        <v>1.0625</v>
      </c>
      <c r="E661">
        <v>0.0</v>
      </c>
      <c r="F661">
        <v>1.0625</v>
      </c>
    </row>
    <row r="662" spans="1:6">
      <c r="A662" s="1" t="s">
        <v>142</v>
      </c>
      <c r="B662" s="3">
        <v>44649</v>
      </c>
      <c r="C662">
        <v>100.0</v>
      </c>
      <c r="D662">
        <v>2.25</v>
      </c>
      <c r="E662">
        <v>0.0</v>
      </c>
      <c r="F662">
        <v>2.25</v>
      </c>
    </row>
    <row r="663" spans="1:6">
      <c r="A663" s="1" t="s">
        <v>142</v>
      </c>
      <c r="B663" s="3">
        <v>44833</v>
      </c>
      <c r="C663">
        <v>100.0</v>
      </c>
      <c r="D663">
        <v>2.25</v>
      </c>
      <c r="E663">
        <v>0.0</v>
      </c>
      <c r="F663">
        <v>2.25</v>
      </c>
    </row>
    <row r="664" spans="1:6">
      <c r="A664" s="1" t="s">
        <v>142</v>
      </c>
      <c r="B664" s="3">
        <v>45014</v>
      </c>
      <c r="C664">
        <v>100.0</v>
      </c>
      <c r="D664">
        <v>3.125</v>
      </c>
      <c r="E664">
        <v>0.0</v>
      </c>
      <c r="F664">
        <v>3.125</v>
      </c>
    </row>
    <row r="665" spans="1:6">
      <c r="A665" s="1" t="s">
        <v>142</v>
      </c>
      <c r="B665" s="3">
        <v>45198</v>
      </c>
      <c r="C665">
        <v>100.0</v>
      </c>
      <c r="D665">
        <v>3.125</v>
      </c>
      <c r="E665">
        <v>0.0</v>
      </c>
      <c r="F665">
        <v>3.125</v>
      </c>
    </row>
    <row r="666" spans="1:6">
      <c r="A666" s="1" t="s">
        <v>142</v>
      </c>
      <c r="B666" s="3">
        <v>45385</v>
      </c>
      <c r="C666">
        <v>87.5</v>
      </c>
      <c r="D666">
        <v>3.5</v>
      </c>
      <c r="E666">
        <v>12.5</v>
      </c>
      <c r="F666">
        <v>16.0</v>
      </c>
    </row>
    <row r="667" spans="1:6">
      <c r="A667" s="1" t="s">
        <v>142</v>
      </c>
      <c r="B667" s="3">
        <v>45565</v>
      </c>
      <c r="C667">
        <v>75.0</v>
      </c>
      <c r="D667">
        <v>3.0625</v>
      </c>
      <c r="E667">
        <v>12.5</v>
      </c>
      <c r="F667">
        <v>15.5625</v>
      </c>
    </row>
    <row r="668" spans="1:6">
      <c r="A668" s="1" t="s">
        <v>142</v>
      </c>
      <c r="B668" s="3">
        <v>45747</v>
      </c>
      <c r="C668">
        <v>62.5</v>
      </c>
      <c r="D668">
        <v>2.625</v>
      </c>
      <c r="E668">
        <v>12.5</v>
      </c>
      <c r="F668">
        <v>15.125</v>
      </c>
    </row>
    <row r="669" spans="1:6">
      <c r="A669" s="1" t="s">
        <v>142</v>
      </c>
      <c r="B669" s="3">
        <v>45929</v>
      </c>
      <c r="C669">
        <v>50.0</v>
      </c>
      <c r="D669">
        <v>2.1875</v>
      </c>
      <c r="E669">
        <v>12.5</v>
      </c>
      <c r="F669">
        <v>14.6875</v>
      </c>
    </row>
    <row r="670" spans="1:6">
      <c r="A670" s="1" t="s">
        <v>142</v>
      </c>
      <c r="B670" s="3">
        <v>46111</v>
      </c>
      <c r="C670">
        <v>37.5</v>
      </c>
      <c r="D670">
        <v>1.75</v>
      </c>
      <c r="E670">
        <v>12.5</v>
      </c>
      <c r="F670">
        <v>14.25</v>
      </c>
    </row>
    <row r="671" spans="1:6">
      <c r="A671" s="1" t="s">
        <v>142</v>
      </c>
      <c r="B671" s="3">
        <v>46294</v>
      </c>
      <c r="C671">
        <v>25.0</v>
      </c>
      <c r="D671">
        <v>1.3125</v>
      </c>
      <c r="E671">
        <v>12.5</v>
      </c>
      <c r="F671">
        <v>13.8125</v>
      </c>
    </row>
    <row r="672" spans="1:6">
      <c r="A672" s="1" t="s">
        <v>142</v>
      </c>
      <c r="B672" s="3">
        <v>46475</v>
      </c>
      <c r="C672">
        <v>12.5</v>
      </c>
      <c r="D672">
        <v>0.875</v>
      </c>
      <c r="E672">
        <v>12.5</v>
      </c>
      <c r="F672">
        <v>13.375</v>
      </c>
    </row>
    <row r="673" spans="1:6">
      <c r="A673" s="1" t="s">
        <v>142</v>
      </c>
      <c r="B673" s="3">
        <v>46659</v>
      </c>
      <c r="C673">
        <v>0.0</v>
      </c>
      <c r="D673">
        <v>0.4375</v>
      </c>
      <c r="E673">
        <v>12.5</v>
      </c>
      <c r="F673">
        <v>12.9375</v>
      </c>
    </row>
    <row r="674" spans="1:6">
      <c r="A674" s="1" t="s">
        <v>159</v>
      </c>
      <c r="B674" s="3">
        <v>42594</v>
      </c>
      <c r="C674">
        <v>100.0</v>
      </c>
      <c r="D674">
        <v>2.15625</v>
      </c>
      <c r="E674">
        <v>0.0</v>
      </c>
      <c r="F674">
        <v>2.15625</v>
      </c>
    </row>
    <row r="675" spans="1:6">
      <c r="A675" s="1" t="s">
        <v>159</v>
      </c>
      <c r="B675" s="3">
        <v>42688</v>
      </c>
      <c r="C675">
        <v>100.0</v>
      </c>
      <c r="D675">
        <v>2.15625</v>
      </c>
      <c r="E675">
        <v>0.0</v>
      </c>
      <c r="F675">
        <v>2.15625</v>
      </c>
    </row>
    <row r="676" spans="1:6">
      <c r="A676" s="1" t="s">
        <v>159</v>
      </c>
      <c r="B676" s="3">
        <v>42779</v>
      </c>
      <c r="C676">
        <v>100.0</v>
      </c>
      <c r="D676">
        <v>2.15625</v>
      </c>
      <c r="E676">
        <v>0.0</v>
      </c>
      <c r="F676">
        <v>2.15625</v>
      </c>
    </row>
    <row r="677" spans="1:6">
      <c r="A677" s="1" t="s">
        <v>159</v>
      </c>
      <c r="B677" s="3">
        <v>42867</v>
      </c>
      <c r="C677">
        <v>100.0</v>
      </c>
      <c r="D677">
        <v>2.15625</v>
      </c>
      <c r="E677">
        <v>0.0</v>
      </c>
      <c r="F677">
        <v>2.15625</v>
      </c>
    </row>
    <row r="678" spans="1:6">
      <c r="A678" s="1" t="s">
        <v>159</v>
      </c>
      <c r="B678" s="3">
        <v>42961</v>
      </c>
      <c r="C678">
        <v>100.0</v>
      </c>
      <c r="D678">
        <v>2.15625</v>
      </c>
      <c r="E678">
        <v>0.0</v>
      </c>
      <c r="F678">
        <v>2.15625</v>
      </c>
    </row>
    <row r="679" spans="1:6">
      <c r="A679" s="1" t="s">
        <v>159</v>
      </c>
      <c r="B679" s="3">
        <v>43052</v>
      </c>
      <c r="C679">
        <v>100.0</v>
      </c>
      <c r="D679">
        <v>2.15625</v>
      </c>
      <c r="E679">
        <v>0.0</v>
      </c>
      <c r="F679">
        <v>2.15625</v>
      </c>
    </row>
    <row r="680" spans="1:6">
      <c r="A680" s="1" t="s">
        <v>159</v>
      </c>
      <c r="B680" s="3">
        <v>43145</v>
      </c>
      <c r="C680">
        <v>100.0</v>
      </c>
      <c r="D680">
        <v>2.15625</v>
      </c>
      <c r="E680">
        <v>0.0</v>
      </c>
      <c r="F680">
        <v>2.15625</v>
      </c>
    </row>
    <row r="681" spans="1:6">
      <c r="A681" s="1" t="s">
        <v>159</v>
      </c>
      <c r="B681" s="3">
        <v>43234</v>
      </c>
      <c r="C681">
        <v>100.0</v>
      </c>
      <c r="D681">
        <v>2.15625</v>
      </c>
      <c r="E681">
        <v>0.0</v>
      </c>
      <c r="F681">
        <v>2.15625</v>
      </c>
    </row>
    <row r="682" spans="1:6">
      <c r="A682" s="1" t="s">
        <v>159</v>
      </c>
      <c r="B682" s="3">
        <v>43325</v>
      </c>
      <c r="C682">
        <v>100.0</v>
      </c>
      <c r="D682">
        <v>2.15625</v>
      </c>
      <c r="E682">
        <v>0.0</v>
      </c>
      <c r="F682">
        <v>2.15625</v>
      </c>
    </row>
    <row r="683" spans="1:6">
      <c r="A683" s="1" t="s">
        <v>159</v>
      </c>
      <c r="B683" s="3">
        <v>43416</v>
      </c>
      <c r="C683">
        <v>100.0</v>
      </c>
      <c r="D683">
        <v>2.15625</v>
      </c>
      <c r="E683">
        <v>0.0</v>
      </c>
      <c r="F683">
        <v>2.15625</v>
      </c>
    </row>
    <row r="684" spans="1:6">
      <c r="A684" s="1" t="s">
        <v>159</v>
      </c>
      <c r="B684" s="3">
        <v>43508</v>
      </c>
      <c r="C684">
        <v>100.0</v>
      </c>
      <c r="D684">
        <v>2.15625</v>
      </c>
      <c r="E684">
        <v>0.0</v>
      </c>
      <c r="F684">
        <v>2.15625</v>
      </c>
    </row>
    <row r="685" spans="1:6">
      <c r="A685" s="1" t="s">
        <v>159</v>
      </c>
      <c r="B685" s="3">
        <v>43598</v>
      </c>
      <c r="C685">
        <v>100.0</v>
      </c>
      <c r="D685">
        <v>2.15625</v>
      </c>
      <c r="E685">
        <v>0.0</v>
      </c>
      <c r="F685">
        <v>2.15625</v>
      </c>
    </row>
    <row r="686" spans="1:6">
      <c r="A686" s="1" t="s">
        <v>159</v>
      </c>
      <c r="B686" s="3">
        <v>43689</v>
      </c>
      <c r="C686">
        <v>100.0</v>
      </c>
      <c r="D686">
        <v>2.15625</v>
      </c>
      <c r="E686">
        <v>0.0</v>
      </c>
      <c r="F686">
        <v>2.15625</v>
      </c>
    </row>
    <row r="687" spans="1:6">
      <c r="A687" s="1" t="s">
        <v>159</v>
      </c>
      <c r="B687" s="3">
        <v>43781</v>
      </c>
      <c r="C687">
        <v>100.0</v>
      </c>
      <c r="D687">
        <v>2.15625</v>
      </c>
      <c r="E687">
        <v>0.0</v>
      </c>
      <c r="F687">
        <v>2.15625</v>
      </c>
    </row>
    <row r="688" spans="1:6">
      <c r="A688" s="1" t="s">
        <v>159</v>
      </c>
      <c r="B688" s="3">
        <v>43873</v>
      </c>
      <c r="C688">
        <v>100.0</v>
      </c>
      <c r="D688">
        <v>2.15625</v>
      </c>
      <c r="E688">
        <v>0.0</v>
      </c>
      <c r="F688">
        <v>2.15625</v>
      </c>
    </row>
    <row r="689" spans="1:6">
      <c r="A689" s="1" t="s">
        <v>159</v>
      </c>
      <c r="B689" s="3">
        <v>43963</v>
      </c>
      <c r="C689">
        <v>97.0</v>
      </c>
      <c r="D689">
        <v>2.15625</v>
      </c>
      <c r="E689">
        <v>3.0</v>
      </c>
      <c r="F689">
        <v>5.15625</v>
      </c>
    </row>
    <row r="690" spans="1:6">
      <c r="A690" s="1" t="s">
        <v>159</v>
      </c>
      <c r="B690" s="3">
        <v>44055</v>
      </c>
      <c r="C690">
        <v>94.0</v>
      </c>
      <c r="D690">
        <v>2.091563</v>
      </c>
      <c r="E690">
        <v>3.0</v>
      </c>
      <c r="F690">
        <v>5.091563</v>
      </c>
    </row>
    <row r="691" spans="1:6">
      <c r="A691" s="1" t="s">
        <v>159</v>
      </c>
      <c r="B691" s="3">
        <v>44147</v>
      </c>
      <c r="C691">
        <v>91.0</v>
      </c>
      <c r="D691">
        <v>2.026875</v>
      </c>
      <c r="E691">
        <v>3.0</v>
      </c>
      <c r="F691">
        <v>5.026875</v>
      </c>
    </row>
    <row r="692" spans="1:6">
      <c r="A692" s="1" t="s">
        <v>159</v>
      </c>
      <c r="B692" s="3">
        <v>44239</v>
      </c>
      <c r="C692">
        <v>90.765</v>
      </c>
      <c r="D692">
        <v>1.176175</v>
      </c>
      <c r="E692">
        <v>0.235</v>
      </c>
      <c r="F692">
        <v>1.411175</v>
      </c>
    </row>
    <row r="693" spans="1:6">
      <c r="A693" s="1" t="s">
        <v>159</v>
      </c>
      <c r="B693" s="3">
        <v>44328</v>
      </c>
      <c r="C693">
        <v>90.53</v>
      </c>
      <c r="D693">
        <v>1.173138</v>
      </c>
      <c r="E693">
        <v>0.235</v>
      </c>
      <c r="F693">
        <v>1.408138</v>
      </c>
    </row>
    <row r="694" spans="1:6">
      <c r="A694" s="1" t="s">
        <v>159</v>
      </c>
      <c r="B694" s="3">
        <v>44420</v>
      </c>
      <c r="C694">
        <v>90.295</v>
      </c>
      <c r="D694">
        <v>1.1701</v>
      </c>
      <c r="E694">
        <v>0.235</v>
      </c>
      <c r="F694">
        <v>1.4051</v>
      </c>
    </row>
    <row r="695" spans="1:6">
      <c r="A695" s="1" t="s">
        <v>159</v>
      </c>
      <c r="B695" s="3">
        <v>44512</v>
      </c>
      <c r="C695">
        <v>90.06</v>
      </c>
      <c r="D695">
        <v>1.167063</v>
      </c>
      <c r="E695">
        <v>0.235</v>
      </c>
      <c r="F695">
        <v>1.402063</v>
      </c>
    </row>
    <row r="696" spans="1:6">
      <c r="A696" s="1" t="s">
        <v>159</v>
      </c>
      <c r="B696" s="3">
        <v>44606</v>
      </c>
      <c r="C696">
        <v>88.885</v>
      </c>
      <c r="D696">
        <v>1.941919</v>
      </c>
      <c r="E696">
        <v>1.175</v>
      </c>
      <c r="F696">
        <v>3.116919</v>
      </c>
    </row>
    <row r="697" spans="1:6">
      <c r="A697" s="1" t="s">
        <v>159</v>
      </c>
      <c r="B697" s="3">
        <v>44693</v>
      </c>
      <c r="C697">
        <v>87.71</v>
      </c>
      <c r="D697">
        <v>1.916583</v>
      </c>
      <c r="E697">
        <v>1.175</v>
      </c>
      <c r="F697">
        <v>3.091583</v>
      </c>
    </row>
    <row r="698" spans="1:6">
      <c r="A698" s="1" t="s">
        <v>159</v>
      </c>
      <c r="B698" s="3">
        <v>44785</v>
      </c>
      <c r="C698">
        <v>86.535</v>
      </c>
      <c r="D698">
        <v>1.891247</v>
      </c>
      <c r="E698">
        <v>1.175</v>
      </c>
      <c r="F698">
        <v>3.066247</v>
      </c>
    </row>
    <row r="699" spans="1:6">
      <c r="A699" s="1" t="s">
        <v>159</v>
      </c>
      <c r="B699" s="3">
        <v>44879</v>
      </c>
      <c r="C699">
        <v>83.7435</v>
      </c>
      <c r="D699">
        <v>1.865911</v>
      </c>
      <c r="E699">
        <v>2.791452</v>
      </c>
      <c r="F699">
        <v>4.657363</v>
      </c>
    </row>
    <row r="700" spans="1:6">
      <c r="A700" s="1" t="s">
        <v>159</v>
      </c>
      <c r="B700" s="3">
        <v>44970</v>
      </c>
      <c r="C700">
        <v>80.9521</v>
      </c>
      <c r="D700">
        <v>1.80572</v>
      </c>
      <c r="E700">
        <v>2.791452</v>
      </c>
      <c r="F700">
        <v>4.597172</v>
      </c>
    </row>
    <row r="701" spans="1:6">
      <c r="A701" s="1" t="s">
        <v>159</v>
      </c>
      <c r="B701" s="3">
        <v>45058</v>
      </c>
      <c r="C701">
        <v>78.1606</v>
      </c>
      <c r="D701">
        <v>1.74553</v>
      </c>
      <c r="E701">
        <v>2.791452</v>
      </c>
      <c r="F701">
        <v>4.536981</v>
      </c>
    </row>
    <row r="702" spans="1:6">
      <c r="A702" s="1" t="s">
        <v>159</v>
      </c>
      <c r="B702" s="3">
        <v>45152</v>
      </c>
      <c r="C702">
        <v>75.3692</v>
      </c>
      <c r="D702">
        <v>1.685339</v>
      </c>
      <c r="E702">
        <v>2.791452</v>
      </c>
      <c r="F702">
        <v>4.47679</v>
      </c>
    </row>
    <row r="703" spans="1:6">
      <c r="A703" s="1" t="s">
        <v>159</v>
      </c>
      <c r="B703" s="3">
        <v>45243</v>
      </c>
      <c r="C703">
        <v>72.5777</v>
      </c>
      <c r="D703">
        <v>1.625148</v>
      </c>
      <c r="E703">
        <v>2.791452</v>
      </c>
      <c r="F703">
        <v>4.4166</v>
      </c>
    </row>
    <row r="704" spans="1:6">
      <c r="A704" s="1" t="s">
        <v>159</v>
      </c>
      <c r="B704" s="3">
        <v>45336</v>
      </c>
      <c r="C704">
        <v>69.7863</v>
      </c>
      <c r="D704">
        <v>1.564958</v>
      </c>
      <c r="E704">
        <v>2.791452</v>
      </c>
      <c r="F704">
        <v>4.356409</v>
      </c>
    </row>
    <row r="705" spans="1:6">
      <c r="A705" s="1" t="s">
        <v>159</v>
      </c>
      <c r="B705" s="3">
        <v>45425</v>
      </c>
      <c r="C705">
        <v>66.9948</v>
      </c>
      <c r="D705">
        <v>1.504767</v>
      </c>
      <c r="E705">
        <v>2.791452</v>
      </c>
      <c r="F705">
        <v>4.296218</v>
      </c>
    </row>
    <row r="706" spans="1:6">
      <c r="A706" s="1" t="s">
        <v>159</v>
      </c>
      <c r="B706" s="3">
        <v>45516</v>
      </c>
      <c r="C706">
        <v>64.2034</v>
      </c>
      <c r="D706">
        <v>1.444576</v>
      </c>
      <c r="E706">
        <v>2.791452</v>
      </c>
      <c r="F706">
        <v>4.236028</v>
      </c>
    </row>
    <row r="707" spans="1:6">
      <c r="A707" s="1" t="s">
        <v>159</v>
      </c>
      <c r="B707" s="3">
        <v>45608</v>
      </c>
      <c r="C707">
        <v>61.4119</v>
      </c>
      <c r="D707">
        <v>1.384385</v>
      </c>
      <c r="E707">
        <v>2.791452</v>
      </c>
      <c r="F707">
        <v>4.175837</v>
      </c>
    </row>
    <row r="708" spans="1:6">
      <c r="A708" s="1" t="s">
        <v>159</v>
      </c>
      <c r="B708" s="3">
        <v>45700</v>
      </c>
      <c r="C708">
        <v>58.6205</v>
      </c>
      <c r="D708">
        <v>1.324195</v>
      </c>
      <c r="E708">
        <v>2.791452</v>
      </c>
      <c r="F708">
        <v>4.115646</v>
      </c>
    </row>
    <row r="709" spans="1:6">
      <c r="A709" s="1" t="s">
        <v>159</v>
      </c>
      <c r="B709" s="3">
        <v>45789</v>
      </c>
      <c r="C709">
        <v>55.829</v>
      </c>
      <c r="D709">
        <v>1.264004</v>
      </c>
      <c r="E709">
        <v>2.791452</v>
      </c>
      <c r="F709">
        <v>4.055456</v>
      </c>
    </row>
    <row r="710" spans="1:6">
      <c r="A710" s="1" t="s">
        <v>159</v>
      </c>
      <c r="B710" s="3">
        <v>45881</v>
      </c>
      <c r="C710">
        <v>53.0376</v>
      </c>
      <c r="D710">
        <v>1.203813</v>
      </c>
      <c r="E710">
        <v>2.791452</v>
      </c>
      <c r="F710">
        <v>3.995265</v>
      </c>
    </row>
    <row r="711" spans="1:6">
      <c r="A711" s="1" t="s">
        <v>159</v>
      </c>
      <c r="B711" s="3">
        <v>45973</v>
      </c>
      <c r="C711">
        <v>50.2461</v>
      </c>
      <c r="D711">
        <v>1.143623</v>
      </c>
      <c r="E711">
        <v>2.791452</v>
      </c>
      <c r="F711">
        <v>3.935074</v>
      </c>
    </row>
    <row r="712" spans="1:6">
      <c r="A712" s="1" t="s">
        <v>159</v>
      </c>
      <c r="B712" s="3">
        <v>46065</v>
      </c>
      <c r="C712">
        <v>47.4547</v>
      </c>
      <c r="D712">
        <v>1.083432</v>
      </c>
      <c r="E712">
        <v>2.791452</v>
      </c>
      <c r="F712">
        <v>3.874884</v>
      </c>
    </row>
    <row r="713" spans="1:6">
      <c r="A713" s="1" t="s">
        <v>159</v>
      </c>
      <c r="B713" s="3">
        <v>46154</v>
      </c>
      <c r="C713">
        <v>44.6632</v>
      </c>
      <c r="D713">
        <v>1.023241</v>
      </c>
      <c r="E713">
        <v>2.791452</v>
      </c>
      <c r="F713">
        <v>3.814693</v>
      </c>
    </row>
    <row r="714" spans="1:6">
      <c r="A714" s="1" t="s">
        <v>159</v>
      </c>
      <c r="B714" s="3">
        <v>46246</v>
      </c>
      <c r="C714">
        <v>41.8718</v>
      </c>
      <c r="D714">
        <v>0.963051</v>
      </c>
      <c r="E714">
        <v>2.791452</v>
      </c>
      <c r="F714">
        <v>3.754502</v>
      </c>
    </row>
    <row r="715" spans="1:6">
      <c r="A715" s="1" t="s">
        <v>159</v>
      </c>
      <c r="B715" s="3">
        <v>46338</v>
      </c>
      <c r="C715">
        <v>39.0803</v>
      </c>
      <c r="D715">
        <v>0.90286</v>
      </c>
      <c r="E715">
        <v>2.791452</v>
      </c>
      <c r="F715">
        <v>3.694312</v>
      </c>
    </row>
    <row r="716" spans="1:6">
      <c r="A716" s="1" t="s">
        <v>159</v>
      </c>
      <c r="B716" s="3">
        <v>46430</v>
      </c>
      <c r="C716">
        <v>36.2889</v>
      </c>
      <c r="D716">
        <v>0.842669</v>
      </c>
      <c r="E716">
        <v>2.791452</v>
      </c>
      <c r="F716">
        <v>3.634121</v>
      </c>
    </row>
    <row r="717" spans="1:6">
      <c r="A717" s="1" t="s">
        <v>159</v>
      </c>
      <c r="B717" s="3">
        <v>46519</v>
      </c>
      <c r="C717">
        <v>33.4974</v>
      </c>
      <c r="D717">
        <v>0.782479</v>
      </c>
      <c r="E717">
        <v>2.791452</v>
      </c>
      <c r="F717">
        <v>3.57393</v>
      </c>
    </row>
    <row r="718" spans="1:6">
      <c r="A718" s="1" t="s">
        <v>159</v>
      </c>
      <c r="B718" s="3">
        <v>46611</v>
      </c>
      <c r="C718">
        <v>30.706</v>
      </c>
      <c r="D718">
        <v>0.722288</v>
      </c>
      <c r="E718">
        <v>2.791452</v>
      </c>
      <c r="F718">
        <v>3.51374</v>
      </c>
    </row>
    <row r="719" spans="1:6">
      <c r="A719" s="1" t="s">
        <v>159</v>
      </c>
      <c r="B719" s="3">
        <v>46703</v>
      </c>
      <c r="C719">
        <v>27.9145</v>
      </c>
      <c r="D719">
        <v>0.662097</v>
      </c>
      <c r="E719">
        <v>2.791452</v>
      </c>
      <c r="F719">
        <v>3.453549</v>
      </c>
    </row>
    <row r="720" spans="1:6">
      <c r="A720" s="1" t="s">
        <v>159</v>
      </c>
      <c r="B720" s="3">
        <v>46797</v>
      </c>
      <c r="C720">
        <v>25.1231</v>
      </c>
      <c r="D720">
        <v>0.601907</v>
      </c>
      <c r="E720">
        <v>2.791452</v>
      </c>
      <c r="F720">
        <v>3.393358</v>
      </c>
    </row>
    <row r="721" spans="1:6">
      <c r="A721" s="1" t="s">
        <v>159</v>
      </c>
      <c r="B721" s="3">
        <v>46885</v>
      </c>
      <c r="C721">
        <v>22.3316</v>
      </c>
      <c r="D721">
        <v>0.541716</v>
      </c>
      <c r="E721">
        <v>2.791452</v>
      </c>
      <c r="F721">
        <v>3.333168</v>
      </c>
    </row>
    <row r="722" spans="1:6">
      <c r="A722" s="1" t="s">
        <v>159</v>
      </c>
      <c r="B722" s="3">
        <v>46979</v>
      </c>
      <c r="C722">
        <v>19.5402</v>
      </c>
      <c r="D722">
        <v>0.481525</v>
      </c>
      <c r="E722">
        <v>2.791452</v>
      </c>
      <c r="F722">
        <v>3.272977</v>
      </c>
    </row>
    <row r="723" spans="1:6">
      <c r="A723" s="1" t="s">
        <v>159</v>
      </c>
      <c r="B723" s="3">
        <v>47070</v>
      </c>
      <c r="C723">
        <v>16.7487</v>
      </c>
      <c r="D723">
        <v>0.421335</v>
      </c>
      <c r="E723">
        <v>2.791452</v>
      </c>
      <c r="F723">
        <v>3.212786</v>
      </c>
    </row>
    <row r="724" spans="1:6">
      <c r="A724" s="1" t="s">
        <v>159</v>
      </c>
      <c r="B724" s="3">
        <v>47161</v>
      </c>
      <c r="C724">
        <v>13.9572</v>
      </c>
      <c r="D724">
        <v>0.361144</v>
      </c>
      <c r="E724">
        <v>2.791452</v>
      </c>
      <c r="F724">
        <v>3.152595</v>
      </c>
    </row>
    <row r="725" spans="1:6">
      <c r="A725" s="1" t="s">
        <v>159</v>
      </c>
      <c r="B725" s="3">
        <v>47252</v>
      </c>
      <c r="C725">
        <v>11.1658</v>
      </c>
      <c r="D725">
        <v>0.300953</v>
      </c>
      <c r="E725">
        <v>2.791452</v>
      </c>
      <c r="F725">
        <v>3.092405</v>
      </c>
    </row>
    <row r="726" spans="1:6">
      <c r="A726" s="1" t="s">
        <v>159</v>
      </c>
      <c r="B726" s="3">
        <v>47343</v>
      </c>
      <c r="C726">
        <v>8.3743</v>
      </c>
      <c r="D726">
        <v>0.240762</v>
      </c>
      <c r="E726">
        <v>2.791452</v>
      </c>
      <c r="F726">
        <v>3.032214</v>
      </c>
    </row>
    <row r="727" spans="1:6">
      <c r="A727" s="1" t="s">
        <v>159</v>
      </c>
      <c r="B727" s="3">
        <v>47434</v>
      </c>
      <c r="C727">
        <v>5.5829</v>
      </c>
      <c r="D727">
        <v>0.180572</v>
      </c>
      <c r="E727">
        <v>2.791452</v>
      </c>
      <c r="F727">
        <v>2.972023</v>
      </c>
    </row>
    <row r="728" spans="1:6">
      <c r="A728" s="1" t="s">
        <v>159</v>
      </c>
      <c r="B728" s="3">
        <v>47526</v>
      </c>
      <c r="C728">
        <v>2.7914</v>
      </c>
      <c r="D728">
        <v>0.120381</v>
      </c>
      <c r="E728">
        <v>2.791452</v>
      </c>
      <c r="F728">
        <v>2.911833</v>
      </c>
    </row>
    <row r="729" spans="1:6">
      <c r="A729" s="1" t="s">
        <v>159</v>
      </c>
      <c r="B729" s="3">
        <v>47616</v>
      </c>
      <c r="C729">
        <v>0.0</v>
      </c>
      <c r="D729">
        <v>0.06019</v>
      </c>
      <c r="E729">
        <v>2.79144</v>
      </c>
      <c r="F729">
        <v>2.85163</v>
      </c>
    </row>
    <row r="730" spans="1:6">
      <c r="A730" s="1" t="s">
        <v>130</v>
      </c>
      <c r="B730" s="3">
        <v>43035</v>
      </c>
      <c r="C730">
        <v>100.0</v>
      </c>
      <c r="D730">
        <v>3.75</v>
      </c>
      <c r="E730">
        <v>0.0</v>
      </c>
      <c r="F730">
        <v>3.75</v>
      </c>
    </row>
    <row r="731" spans="1:6">
      <c r="A731" s="1" t="s">
        <v>130</v>
      </c>
      <c r="B731" s="3">
        <v>43217</v>
      </c>
      <c r="C731">
        <v>100.0</v>
      </c>
      <c r="D731">
        <v>3.75</v>
      </c>
      <c r="E731">
        <v>0.0</v>
      </c>
      <c r="F731">
        <v>3.75</v>
      </c>
    </row>
    <row r="732" spans="1:6">
      <c r="A732" s="1" t="s">
        <v>130</v>
      </c>
      <c r="B732" s="3">
        <v>43402</v>
      </c>
      <c r="C732">
        <v>100.0</v>
      </c>
      <c r="D732">
        <v>3.75</v>
      </c>
      <c r="E732">
        <v>0.0</v>
      </c>
      <c r="F732">
        <v>3.75</v>
      </c>
    </row>
    <row r="733" spans="1:6">
      <c r="A733" s="1" t="s">
        <v>130</v>
      </c>
      <c r="B733" s="3">
        <v>43584</v>
      </c>
      <c r="C733">
        <v>100.0</v>
      </c>
      <c r="D733">
        <v>3.75</v>
      </c>
      <c r="E733">
        <v>0.0</v>
      </c>
      <c r="F733">
        <v>3.75</v>
      </c>
    </row>
    <row r="734" spans="1:6">
      <c r="A734" s="1" t="s">
        <v>130</v>
      </c>
      <c r="B734" s="3">
        <v>43766</v>
      </c>
      <c r="C734">
        <v>100.0</v>
      </c>
      <c r="D734">
        <v>3.75</v>
      </c>
      <c r="E734">
        <v>0.0</v>
      </c>
      <c r="F734">
        <v>3.75</v>
      </c>
    </row>
    <row r="735" spans="1:6">
      <c r="A735" s="1" t="s">
        <v>130</v>
      </c>
      <c r="B735" s="3">
        <v>43948</v>
      </c>
      <c r="C735">
        <v>100.0</v>
      </c>
      <c r="D735">
        <v>3.75</v>
      </c>
      <c r="E735">
        <v>0.0</v>
      </c>
      <c r="F735">
        <v>3.75</v>
      </c>
    </row>
    <row r="736" spans="1:6">
      <c r="A736" s="1" t="s">
        <v>130</v>
      </c>
      <c r="B736" s="3">
        <v>44162</v>
      </c>
      <c r="C736">
        <v>100.0</v>
      </c>
      <c r="D736">
        <v>1.458333</v>
      </c>
      <c r="E736">
        <v>0.0</v>
      </c>
      <c r="F736">
        <v>1.458333</v>
      </c>
    </row>
    <row r="737" spans="1:6">
      <c r="A737" s="1" t="s">
        <v>130</v>
      </c>
      <c r="B737" s="3">
        <v>44313</v>
      </c>
      <c r="C737">
        <v>100.0</v>
      </c>
      <c r="D737">
        <v>1.041667</v>
      </c>
      <c r="E737">
        <v>0.0</v>
      </c>
      <c r="F737">
        <v>1.041667</v>
      </c>
    </row>
    <row r="738" spans="1:6">
      <c r="A738" s="1" t="s">
        <v>130</v>
      </c>
      <c r="B738" s="3">
        <v>44496</v>
      </c>
      <c r="C738">
        <v>100.0</v>
      </c>
      <c r="D738">
        <v>1.25</v>
      </c>
      <c r="E738">
        <v>0.0</v>
      </c>
      <c r="F738">
        <v>1.25</v>
      </c>
    </row>
    <row r="739" spans="1:6">
      <c r="A739" s="1" t="s">
        <v>130</v>
      </c>
      <c r="B739" s="3">
        <v>44678</v>
      </c>
      <c r="C739">
        <v>100.0</v>
      </c>
      <c r="D739">
        <v>2.3125</v>
      </c>
      <c r="E739">
        <v>0.0</v>
      </c>
      <c r="F739">
        <v>2.3125</v>
      </c>
    </row>
    <row r="740" spans="1:6">
      <c r="A740" s="1" t="s">
        <v>130</v>
      </c>
      <c r="B740" s="3">
        <v>44861</v>
      </c>
      <c r="C740">
        <v>100.0</v>
      </c>
      <c r="D740">
        <v>2.3125</v>
      </c>
      <c r="E740">
        <v>0.0</v>
      </c>
      <c r="F740">
        <v>2.3125</v>
      </c>
    </row>
    <row r="741" spans="1:6">
      <c r="A741" s="1" t="s">
        <v>130</v>
      </c>
      <c r="B741" s="3">
        <v>45043</v>
      </c>
      <c r="C741">
        <v>100.0</v>
      </c>
      <c r="D741">
        <v>3.3125</v>
      </c>
      <c r="E741">
        <v>0.0</v>
      </c>
      <c r="F741">
        <v>3.3125</v>
      </c>
    </row>
    <row r="742" spans="1:6">
      <c r="A742" s="1" t="s">
        <v>130</v>
      </c>
      <c r="B742" s="3">
        <v>45226</v>
      </c>
      <c r="C742">
        <v>100.0</v>
      </c>
      <c r="D742">
        <v>3.3125</v>
      </c>
      <c r="E742">
        <v>0.0</v>
      </c>
      <c r="F742">
        <v>3.3125</v>
      </c>
    </row>
    <row r="743" spans="1:6">
      <c r="A743" s="1" t="s">
        <v>130</v>
      </c>
      <c r="B743" s="3">
        <v>45411</v>
      </c>
      <c r="C743">
        <v>92.3077</v>
      </c>
      <c r="D743">
        <v>3.375</v>
      </c>
      <c r="E743">
        <v>7.692308</v>
      </c>
      <c r="F743">
        <v>11.067308</v>
      </c>
    </row>
    <row r="744" spans="1:6">
      <c r="A744" s="1" t="s">
        <v>130</v>
      </c>
      <c r="B744" s="3">
        <v>45593</v>
      </c>
      <c r="C744">
        <v>84.6154</v>
      </c>
      <c r="D744">
        <v>3.115385</v>
      </c>
      <c r="E744">
        <v>7.692308</v>
      </c>
      <c r="F744">
        <v>10.807692</v>
      </c>
    </row>
    <row r="745" spans="1:6">
      <c r="A745" s="1" t="s">
        <v>130</v>
      </c>
      <c r="B745" s="3">
        <v>45775</v>
      </c>
      <c r="C745">
        <v>76.9231</v>
      </c>
      <c r="D745">
        <v>2.908654</v>
      </c>
      <c r="E745">
        <v>7.692308</v>
      </c>
      <c r="F745">
        <v>10.600962</v>
      </c>
    </row>
    <row r="746" spans="1:6">
      <c r="A746" s="1" t="s">
        <v>130</v>
      </c>
      <c r="B746" s="3">
        <v>45957</v>
      </c>
      <c r="C746">
        <v>69.2308</v>
      </c>
      <c r="D746">
        <v>2.644231</v>
      </c>
      <c r="E746">
        <v>7.692308</v>
      </c>
      <c r="F746">
        <v>10.336538</v>
      </c>
    </row>
    <row r="747" spans="1:6">
      <c r="A747" s="1" t="s">
        <v>130</v>
      </c>
      <c r="B747" s="3">
        <v>46139</v>
      </c>
      <c r="C747">
        <v>61.5385</v>
      </c>
      <c r="D747">
        <v>2.379808</v>
      </c>
      <c r="E747">
        <v>7.692308</v>
      </c>
      <c r="F747">
        <v>10.072115</v>
      </c>
    </row>
    <row r="748" spans="1:6">
      <c r="A748" s="1" t="s">
        <v>130</v>
      </c>
      <c r="B748" s="3">
        <v>46322</v>
      </c>
      <c r="C748">
        <v>53.8462</v>
      </c>
      <c r="D748">
        <v>2.115385</v>
      </c>
      <c r="E748">
        <v>7.692308</v>
      </c>
      <c r="F748">
        <v>9.807692</v>
      </c>
    </row>
    <row r="749" spans="1:6">
      <c r="A749" s="1" t="s">
        <v>130</v>
      </c>
      <c r="B749" s="3">
        <v>46504</v>
      </c>
      <c r="C749">
        <v>46.1538</v>
      </c>
      <c r="D749">
        <v>1.850961</v>
      </c>
      <c r="E749">
        <v>7.692308</v>
      </c>
      <c r="F749">
        <v>9.543269</v>
      </c>
    </row>
    <row r="750" spans="1:6">
      <c r="A750" s="1" t="s">
        <v>130</v>
      </c>
      <c r="B750" s="3">
        <v>46687</v>
      </c>
      <c r="C750">
        <v>38.4615</v>
      </c>
      <c r="D750">
        <v>1.586538</v>
      </c>
      <c r="E750">
        <v>7.692308</v>
      </c>
      <c r="F750">
        <v>9.278846</v>
      </c>
    </row>
    <row r="751" spans="1:6">
      <c r="A751" s="1" t="s">
        <v>130</v>
      </c>
      <c r="B751" s="3">
        <v>46870</v>
      </c>
      <c r="C751">
        <v>30.7692</v>
      </c>
      <c r="D751">
        <v>1.322115</v>
      </c>
      <c r="E751">
        <v>7.692308</v>
      </c>
      <c r="F751">
        <v>9.014423</v>
      </c>
    </row>
    <row r="752" spans="1:6">
      <c r="A752" s="1" t="s">
        <v>130</v>
      </c>
      <c r="B752" s="3">
        <v>47053</v>
      </c>
      <c r="C752">
        <v>23.0769</v>
      </c>
      <c r="D752">
        <v>1.057692</v>
      </c>
      <c r="E752">
        <v>7.692308</v>
      </c>
      <c r="F752">
        <v>8.75</v>
      </c>
    </row>
    <row r="753" spans="1:6">
      <c r="A753" s="1" t="s">
        <v>130</v>
      </c>
      <c r="B753" s="3">
        <v>47235</v>
      </c>
      <c r="C753">
        <v>15.3846</v>
      </c>
      <c r="D753">
        <v>0.793269</v>
      </c>
      <c r="E753">
        <v>7.692308</v>
      </c>
      <c r="F753">
        <v>8.485577</v>
      </c>
    </row>
    <row r="754" spans="1:6">
      <c r="A754" s="1" t="s">
        <v>130</v>
      </c>
      <c r="B754" s="3">
        <v>47420</v>
      </c>
      <c r="C754">
        <v>7.6923</v>
      </c>
      <c r="D754">
        <v>0.528846</v>
      </c>
      <c r="E754">
        <v>7.692308</v>
      </c>
      <c r="F754">
        <v>8.221154</v>
      </c>
    </row>
    <row r="755" spans="1:6">
      <c r="A755" s="1" t="s">
        <v>130</v>
      </c>
      <c r="B755" s="3">
        <v>47602</v>
      </c>
      <c r="C755">
        <v>0.0</v>
      </c>
      <c r="D755">
        <v>0.264423</v>
      </c>
      <c r="E755">
        <v>7.692304</v>
      </c>
      <c r="F755">
        <v>7.956727</v>
      </c>
    </row>
    <row r="756" spans="1:6">
      <c r="A756" s="1" t="s">
        <v>302</v>
      </c>
      <c r="B756" s="3">
        <v>46078</v>
      </c>
      <c r="C756">
        <v>100.0</v>
      </c>
      <c r="D756">
        <v>4.032877</v>
      </c>
      <c r="E756">
        <v>0.0</v>
      </c>
      <c r="F756">
        <v>4.032877</v>
      </c>
    </row>
    <row r="757" spans="1:6">
      <c r="A757" s="1" t="s">
        <v>302</v>
      </c>
      <c r="B757" s="3">
        <v>46259</v>
      </c>
      <c r="C757">
        <v>100.0</v>
      </c>
      <c r="D757">
        <v>3.967123</v>
      </c>
      <c r="E757">
        <v>0.0</v>
      </c>
      <c r="F757">
        <v>3.967123</v>
      </c>
    </row>
    <row r="758" spans="1:6">
      <c r="A758" s="1" t="s">
        <v>302</v>
      </c>
      <c r="B758" s="3">
        <v>46443</v>
      </c>
      <c r="C758">
        <v>100.0</v>
      </c>
      <c r="D758">
        <v>4.032877</v>
      </c>
      <c r="E758">
        <v>0.0</v>
      </c>
      <c r="F758">
        <v>4.032877</v>
      </c>
    </row>
    <row r="759" spans="1:6">
      <c r="A759" s="1" t="s">
        <v>302</v>
      </c>
      <c r="B759" s="3">
        <v>46624</v>
      </c>
      <c r="C759">
        <v>100.0</v>
      </c>
      <c r="D759">
        <v>3.967123</v>
      </c>
      <c r="E759">
        <v>0.0</v>
      </c>
      <c r="F759">
        <v>3.967123</v>
      </c>
    </row>
    <row r="760" spans="1:6">
      <c r="A760" s="1" t="s">
        <v>302</v>
      </c>
      <c r="B760" s="3">
        <v>46808</v>
      </c>
      <c r="C760">
        <v>100.0</v>
      </c>
      <c r="D760">
        <v>4.032877</v>
      </c>
      <c r="E760">
        <v>0.0</v>
      </c>
      <c r="F760">
        <v>4.032877</v>
      </c>
    </row>
    <row r="761" spans="1:6">
      <c r="A761" s="1" t="s">
        <v>302</v>
      </c>
      <c r="B761" s="3">
        <v>46990</v>
      </c>
      <c r="C761">
        <v>100.0</v>
      </c>
      <c r="D761">
        <v>3.989041</v>
      </c>
      <c r="E761">
        <v>0.0</v>
      </c>
      <c r="F761">
        <v>3.989041</v>
      </c>
    </row>
    <row r="762" spans="1:6">
      <c r="A762" s="1" t="s">
        <v>302</v>
      </c>
      <c r="B762" s="3">
        <v>47175</v>
      </c>
      <c r="C762">
        <v>100.0</v>
      </c>
      <c r="D762">
        <v>4.032877</v>
      </c>
      <c r="E762">
        <v>0.0</v>
      </c>
      <c r="F762">
        <v>4.032877</v>
      </c>
    </row>
    <row r="763" spans="1:6">
      <c r="A763" s="1" t="s">
        <v>302</v>
      </c>
      <c r="B763" s="3">
        <v>47357</v>
      </c>
      <c r="C763">
        <v>0.0</v>
      </c>
      <c r="D763">
        <v>4.010959</v>
      </c>
      <c r="E763">
        <v>100.0</v>
      </c>
      <c r="F763">
        <v>104.010959</v>
      </c>
    </row>
    <row r="764" spans="1:6">
      <c r="A764" s="1" t="s">
        <v>304</v>
      </c>
      <c r="B764" s="3">
        <v>46325</v>
      </c>
      <c r="C764">
        <v>100.0</v>
      </c>
      <c r="D764">
        <v>3.008219</v>
      </c>
      <c r="E764">
        <v>0.0</v>
      </c>
      <c r="F764">
        <v>3.008219</v>
      </c>
    </row>
    <row r="765" spans="1:6">
      <c r="A765" s="1" t="s">
        <v>304</v>
      </c>
      <c r="B765" s="3">
        <v>46507</v>
      </c>
      <c r="C765">
        <v>100.0</v>
      </c>
      <c r="D765">
        <v>2.991781</v>
      </c>
      <c r="E765">
        <v>0.0</v>
      </c>
      <c r="F765">
        <v>2.991781</v>
      </c>
    </row>
    <row r="766" spans="1:6">
      <c r="A766" s="1" t="s">
        <v>304</v>
      </c>
      <c r="B766" s="3">
        <v>46692</v>
      </c>
      <c r="C766">
        <v>100.0</v>
      </c>
      <c r="D766">
        <v>3.041096</v>
      </c>
      <c r="E766">
        <v>0.0</v>
      </c>
      <c r="F766">
        <v>3.041096</v>
      </c>
    </row>
    <row r="767" spans="1:6">
      <c r="A767" s="1" t="s">
        <v>304</v>
      </c>
      <c r="B767" s="3">
        <v>46875</v>
      </c>
      <c r="C767">
        <v>100.0</v>
      </c>
      <c r="D767">
        <v>3.008219</v>
      </c>
      <c r="E767">
        <v>0.0</v>
      </c>
      <c r="F767">
        <v>3.008219</v>
      </c>
    </row>
    <row r="768" spans="1:6">
      <c r="A768" s="1" t="s">
        <v>304</v>
      </c>
      <c r="B768" s="3">
        <v>47056</v>
      </c>
      <c r="C768">
        <v>100.0</v>
      </c>
      <c r="D768">
        <v>2.975342</v>
      </c>
      <c r="E768">
        <v>0.0</v>
      </c>
      <c r="F768">
        <v>2.975342</v>
      </c>
    </row>
    <row r="769" spans="1:6">
      <c r="A769" s="1" t="s">
        <v>304</v>
      </c>
      <c r="B769" s="3">
        <v>47238</v>
      </c>
      <c r="C769">
        <v>100.0</v>
      </c>
      <c r="D769">
        <v>2.991781</v>
      </c>
      <c r="E769">
        <v>0.0</v>
      </c>
      <c r="F769">
        <v>2.991781</v>
      </c>
    </row>
    <row r="770" spans="1:6">
      <c r="A770" s="1" t="s">
        <v>304</v>
      </c>
      <c r="B770" s="3">
        <v>47421</v>
      </c>
      <c r="C770">
        <v>100.0</v>
      </c>
      <c r="D770">
        <v>3.008219</v>
      </c>
      <c r="E770">
        <v>0.0</v>
      </c>
      <c r="F770">
        <v>3.008219</v>
      </c>
    </row>
    <row r="771" spans="1:6">
      <c r="A771" s="1" t="s">
        <v>304</v>
      </c>
      <c r="B771" s="3">
        <v>47603</v>
      </c>
      <c r="C771">
        <v>0.0</v>
      </c>
      <c r="D771">
        <v>2.991781</v>
      </c>
      <c r="E771">
        <v>100.0</v>
      </c>
      <c r="F771">
        <v>102.991781</v>
      </c>
    </row>
    <row r="772" spans="1:6">
      <c r="A772" s="1" t="s">
        <v>457</v>
      </c>
      <c r="B772" s="3">
        <v>46414</v>
      </c>
      <c r="C772">
        <v>100.0</v>
      </c>
      <c r="D772">
        <v>2.772603</v>
      </c>
      <c r="E772">
        <v>0.0</v>
      </c>
      <c r="F772">
        <v>2.772603</v>
      </c>
    </row>
    <row r="773" spans="1:6">
      <c r="A773" s="1" t="s">
        <v>457</v>
      </c>
      <c r="B773" s="3">
        <v>46595</v>
      </c>
      <c r="C773">
        <v>100.0</v>
      </c>
      <c r="D773">
        <v>2.727397</v>
      </c>
      <c r="E773">
        <v>0.0</v>
      </c>
      <c r="F773">
        <v>2.727397</v>
      </c>
    </row>
    <row r="774" spans="1:6">
      <c r="A774" s="1" t="s">
        <v>457</v>
      </c>
      <c r="B774" s="3">
        <v>46779</v>
      </c>
      <c r="C774">
        <v>100.0</v>
      </c>
      <c r="D774">
        <v>2.772603</v>
      </c>
      <c r="E774">
        <v>0.0</v>
      </c>
      <c r="F774">
        <v>2.772603</v>
      </c>
    </row>
    <row r="775" spans="1:6">
      <c r="A775" s="1" t="s">
        <v>457</v>
      </c>
      <c r="B775" s="3">
        <v>46961</v>
      </c>
      <c r="C775">
        <v>100.0</v>
      </c>
      <c r="D775">
        <v>2.742466</v>
      </c>
      <c r="E775">
        <v>0.0</v>
      </c>
      <c r="F775">
        <v>2.742466</v>
      </c>
    </row>
    <row r="776" spans="1:6">
      <c r="A776" s="1" t="s">
        <v>457</v>
      </c>
      <c r="B776" s="3">
        <v>47147</v>
      </c>
      <c r="C776">
        <v>100.0</v>
      </c>
      <c r="D776">
        <v>2.772603</v>
      </c>
      <c r="E776">
        <v>0.0</v>
      </c>
      <c r="F776">
        <v>2.772603</v>
      </c>
    </row>
    <row r="777" spans="1:6">
      <c r="A777" s="1" t="s">
        <v>457</v>
      </c>
      <c r="B777" s="3">
        <v>47326</v>
      </c>
      <c r="C777">
        <v>0.0</v>
      </c>
      <c r="D777">
        <v>2.727397</v>
      </c>
      <c r="E777">
        <v>100.0</v>
      </c>
      <c r="F777">
        <v>102.727397</v>
      </c>
    </row>
    <row r="778" spans="1:6">
      <c r="A778" s="1" t="s">
        <v>240</v>
      </c>
      <c r="B778" s="3">
        <v>46003</v>
      </c>
      <c r="C778">
        <v>100.0</v>
      </c>
      <c r="D778">
        <v>3.955808</v>
      </c>
      <c r="E778">
        <v>0.0</v>
      </c>
      <c r="F778">
        <v>3.955808</v>
      </c>
    </row>
    <row r="779" spans="1:6">
      <c r="A779" s="1" t="s">
        <v>240</v>
      </c>
      <c r="B779" s="3">
        <v>46185</v>
      </c>
      <c r="C779">
        <v>100.0</v>
      </c>
      <c r="D779">
        <v>3.934192</v>
      </c>
      <c r="E779">
        <v>0.0</v>
      </c>
      <c r="F779">
        <v>3.934192</v>
      </c>
    </row>
    <row r="780" spans="1:6">
      <c r="A780" s="1" t="s">
        <v>240</v>
      </c>
      <c r="B780" s="3">
        <v>46370</v>
      </c>
      <c r="C780">
        <v>100.0</v>
      </c>
      <c r="D780">
        <v>3.955808</v>
      </c>
      <c r="E780">
        <v>0.0</v>
      </c>
      <c r="F780">
        <v>3.955808</v>
      </c>
    </row>
    <row r="781" spans="1:6">
      <c r="A781" s="1" t="s">
        <v>240</v>
      </c>
      <c r="B781" s="3">
        <v>46552</v>
      </c>
      <c r="C781">
        <v>100.0</v>
      </c>
      <c r="D781">
        <v>3.934192</v>
      </c>
      <c r="E781">
        <v>0.0</v>
      </c>
      <c r="F781">
        <v>3.934192</v>
      </c>
    </row>
    <row r="782" spans="1:6">
      <c r="A782" s="1" t="s">
        <v>240</v>
      </c>
      <c r="B782" s="3">
        <v>46734</v>
      </c>
      <c r="C782">
        <v>100.0</v>
      </c>
      <c r="D782">
        <v>3.955808</v>
      </c>
      <c r="E782">
        <v>0.0</v>
      </c>
      <c r="F782">
        <v>3.955808</v>
      </c>
    </row>
    <row r="783" spans="1:6">
      <c r="A783" s="1" t="s">
        <v>240</v>
      </c>
      <c r="B783" s="3">
        <v>46916</v>
      </c>
      <c r="C783">
        <v>0.0</v>
      </c>
      <c r="D783">
        <v>3.955808</v>
      </c>
      <c r="E783">
        <v>100.0</v>
      </c>
      <c r="F783">
        <v>103.955808</v>
      </c>
    </row>
    <row r="784" spans="1:6">
      <c r="A784" s="1" t="s">
        <v>243</v>
      </c>
      <c r="B784" s="3">
        <v>46178</v>
      </c>
      <c r="C784">
        <v>100.0</v>
      </c>
      <c r="D784">
        <v>3.739726</v>
      </c>
      <c r="E784">
        <v>0.0</v>
      </c>
      <c r="F784">
        <v>3.739726</v>
      </c>
    </row>
    <row r="785" spans="1:6">
      <c r="A785" s="1" t="s">
        <v>243</v>
      </c>
      <c r="B785" s="3">
        <v>46365</v>
      </c>
      <c r="C785">
        <v>100.0</v>
      </c>
      <c r="D785">
        <v>3.760274</v>
      </c>
      <c r="E785">
        <v>0.0</v>
      </c>
      <c r="F785">
        <v>3.760274</v>
      </c>
    </row>
    <row r="786" spans="1:6">
      <c r="A786" s="1" t="s">
        <v>243</v>
      </c>
      <c r="B786" s="3">
        <v>46545</v>
      </c>
      <c r="C786">
        <v>100.0</v>
      </c>
      <c r="D786">
        <v>3.739726</v>
      </c>
      <c r="E786">
        <v>0.0</v>
      </c>
      <c r="F786">
        <v>3.739726</v>
      </c>
    </row>
    <row r="787" spans="1:6">
      <c r="A787" s="1" t="s">
        <v>243</v>
      </c>
      <c r="B787" s="3">
        <v>46727</v>
      </c>
      <c r="C787">
        <v>100.0</v>
      </c>
      <c r="D787">
        <v>3.760274</v>
      </c>
      <c r="E787">
        <v>0.0</v>
      </c>
      <c r="F787">
        <v>3.760274</v>
      </c>
    </row>
    <row r="788" spans="1:6">
      <c r="A788" s="1" t="s">
        <v>243</v>
      </c>
      <c r="B788" s="3">
        <v>46909</v>
      </c>
      <c r="C788">
        <v>100.0</v>
      </c>
      <c r="D788">
        <v>3.760274</v>
      </c>
      <c r="E788">
        <v>0.0</v>
      </c>
      <c r="F788">
        <v>3.760274</v>
      </c>
    </row>
    <row r="789" spans="1:6">
      <c r="A789" s="1" t="s">
        <v>243</v>
      </c>
      <c r="B789" s="3">
        <v>47092</v>
      </c>
      <c r="C789">
        <v>100.0</v>
      </c>
      <c r="D789">
        <v>3.760274</v>
      </c>
      <c r="E789">
        <v>0.0</v>
      </c>
      <c r="F789">
        <v>3.760274</v>
      </c>
    </row>
    <row r="790" spans="1:6">
      <c r="A790" s="1" t="s">
        <v>243</v>
      </c>
      <c r="B790" s="3">
        <v>47274</v>
      </c>
      <c r="C790">
        <v>0.0</v>
      </c>
      <c r="D790">
        <v>3.739726</v>
      </c>
      <c r="E790">
        <v>100.0</v>
      </c>
      <c r="F790">
        <v>103.739726</v>
      </c>
    </row>
    <row r="791" spans="1:6">
      <c r="A791" s="1" t="s">
        <v>245</v>
      </c>
      <c r="B791" s="3">
        <v>46258</v>
      </c>
      <c r="C791">
        <v>100.0</v>
      </c>
      <c r="D791">
        <v>3.421644</v>
      </c>
      <c r="E791">
        <v>0.0</v>
      </c>
      <c r="F791">
        <v>3.421644</v>
      </c>
    </row>
    <row r="792" spans="1:6">
      <c r="A792" s="1" t="s">
        <v>245</v>
      </c>
      <c r="B792" s="3">
        <v>46441</v>
      </c>
      <c r="C792">
        <v>100.0</v>
      </c>
      <c r="D792">
        <v>3.478356</v>
      </c>
      <c r="E792">
        <v>0.0</v>
      </c>
      <c r="F792">
        <v>3.478356</v>
      </c>
    </row>
    <row r="793" spans="1:6">
      <c r="A793" s="1" t="s">
        <v>245</v>
      </c>
      <c r="B793" s="3">
        <v>46622</v>
      </c>
      <c r="C793">
        <v>100.0</v>
      </c>
      <c r="D793">
        <v>3.421644</v>
      </c>
      <c r="E793">
        <v>0.0</v>
      </c>
      <c r="F793">
        <v>3.421644</v>
      </c>
    </row>
    <row r="794" spans="1:6">
      <c r="A794" s="1" t="s">
        <v>245</v>
      </c>
      <c r="B794" s="3">
        <v>46806</v>
      </c>
      <c r="C794">
        <v>100.0</v>
      </c>
      <c r="D794">
        <v>3.478356</v>
      </c>
      <c r="E794">
        <v>0.0</v>
      </c>
      <c r="F794">
        <v>3.478356</v>
      </c>
    </row>
    <row r="795" spans="1:6">
      <c r="A795" s="1" t="s">
        <v>245</v>
      </c>
      <c r="B795" s="3">
        <v>46988</v>
      </c>
      <c r="C795">
        <v>100.0</v>
      </c>
      <c r="D795">
        <v>3.440548</v>
      </c>
      <c r="E795">
        <v>0.0</v>
      </c>
      <c r="F795">
        <v>3.440548</v>
      </c>
    </row>
    <row r="796" spans="1:6">
      <c r="A796" s="1" t="s">
        <v>245</v>
      </c>
      <c r="B796" s="3">
        <v>47172</v>
      </c>
      <c r="C796">
        <v>100.0</v>
      </c>
      <c r="D796">
        <v>3.478356</v>
      </c>
      <c r="E796">
        <v>0.0</v>
      </c>
      <c r="F796">
        <v>3.478356</v>
      </c>
    </row>
    <row r="797" spans="1:6">
      <c r="A797" s="1" t="s">
        <v>245</v>
      </c>
      <c r="B797" s="3">
        <v>47353</v>
      </c>
      <c r="C797">
        <v>100.0</v>
      </c>
      <c r="D797">
        <v>3.421644</v>
      </c>
      <c r="E797">
        <v>0.0</v>
      </c>
      <c r="F797">
        <v>3.421644</v>
      </c>
    </row>
    <row r="798" spans="1:6">
      <c r="A798" s="1" t="s">
        <v>245</v>
      </c>
      <c r="B798" s="3">
        <v>47539</v>
      </c>
      <c r="C798">
        <v>0.0</v>
      </c>
      <c r="D798">
        <v>3.516164</v>
      </c>
      <c r="E798">
        <v>100.0</v>
      </c>
      <c r="F798">
        <v>103.516164</v>
      </c>
    </row>
    <row r="799" spans="1:6">
      <c r="A799" s="1" t="s">
        <v>306</v>
      </c>
      <c r="B799" s="3">
        <v>45806</v>
      </c>
      <c r="C799">
        <v>100.0</v>
      </c>
      <c r="D799">
        <v>3.967123</v>
      </c>
      <c r="E799">
        <v>0.0</v>
      </c>
      <c r="F799">
        <v>3.967123</v>
      </c>
    </row>
    <row r="800" spans="1:6">
      <c r="A800" s="1" t="s">
        <v>306</v>
      </c>
      <c r="B800" s="3">
        <v>45992</v>
      </c>
      <c r="C800">
        <v>100.0</v>
      </c>
      <c r="D800">
        <v>4.032877</v>
      </c>
      <c r="E800">
        <v>0.0</v>
      </c>
      <c r="F800">
        <v>4.032877</v>
      </c>
    </row>
    <row r="801" spans="1:6">
      <c r="A801" s="1" t="s">
        <v>306</v>
      </c>
      <c r="B801" s="3">
        <v>46171</v>
      </c>
      <c r="C801">
        <v>100.0</v>
      </c>
      <c r="D801">
        <v>3.967123</v>
      </c>
      <c r="E801">
        <v>0.0</v>
      </c>
      <c r="F801">
        <v>3.967123</v>
      </c>
    </row>
    <row r="802" spans="1:6">
      <c r="A802" s="1" t="s">
        <v>306</v>
      </c>
      <c r="B802" s="3">
        <v>46356</v>
      </c>
      <c r="C802">
        <v>100.0</v>
      </c>
      <c r="D802">
        <v>4.032877</v>
      </c>
      <c r="E802">
        <v>0.0</v>
      </c>
      <c r="F802">
        <v>4.032877</v>
      </c>
    </row>
    <row r="803" spans="1:6">
      <c r="A803" s="1" t="s">
        <v>306</v>
      </c>
      <c r="B803" s="3">
        <v>46538</v>
      </c>
      <c r="C803">
        <v>100.0</v>
      </c>
      <c r="D803">
        <v>3.967123</v>
      </c>
      <c r="E803">
        <v>0.0</v>
      </c>
      <c r="F803">
        <v>3.967123</v>
      </c>
    </row>
    <row r="804" spans="1:6">
      <c r="A804" s="1" t="s">
        <v>306</v>
      </c>
      <c r="B804" s="3">
        <v>46720</v>
      </c>
      <c r="C804">
        <v>0.0</v>
      </c>
      <c r="D804">
        <v>4.032877</v>
      </c>
      <c r="E804">
        <v>100.0</v>
      </c>
      <c r="F804">
        <v>104.032877</v>
      </c>
    </row>
    <row r="805" spans="1:6">
      <c r="A805" s="1" t="s">
        <v>459</v>
      </c>
      <c r="B805" s="3">
        <v>46367</v>
      </c>
      <c r="C805">
        <v>100.0</v>
      </c>
      <c r="D805">
        <v>4.875</v>
      </c>
      <c r="E805">
        <v>0.0</v>
      </c>
      <c r="F805">
        <v>4.875</v>
      </c>
    </row>
    <row r="806" spans="1:6">
      <c r="A806" s="1" t="s">
        <v>459</v>
      </c>
      <c r="B806" s="3">
        <v>46549</v>
      </c>
      <c r="C806">
        <v>100.0</v>
      </c>
      <c r="D806">
        <v>4.875</v>
      </c>
      <c r="E806">
        <v>0.0</v>
      </c>
      <c r="F806">
        <v>4.875</v>
      </c>
    </row>
    <row r="807" spans="1:6">
      <c r="A807" s="1" t="s">
        <v>459</v>
      </c>
      <c r="B807" s="3">
        <v>46734</v>
      </c>
      <c r="C807">
        <v>100.0</v>
      </c>
      <c r="D807">
        <v>4.875</v>
      </c>
      <c r="E807">
        <v>0.0</v>
      </c>
      <c r="F807">
        <v>4.875</v>
      </c>
    </row>
    <row r="808" spans="1:6">
      <c r="A808" s="1" t="s">
        <v>459</v>
      </c>
      <c r="B808" s="3">
        <v>46916</v>
      </c>
      <c r="C808">
        <v>100.0</v>
      </c>
      <c r="D808">
        <v>4.875</v>
      </c>
      <c r="E808">
        <v>0.0</v>
      </c>
      <c r="F808">
        <v>4.875</v>
      </c>
    </row>
    <row r="809" spans="1:6">
      <c r="A809" s="1" t="s">
        <v>459</v>
      </c>
      <c r="B809" s="3">
        <v>47098</v>
      </c>
      <c r="C809">
        <v>100.0</v>
      </c>
      <c r="D809">
        <v>4.875</v>
      </c>
      <c r="E809">
        <v>0.0</v>
      </c>
      <c r="F809">
        <v>4.875</v>
      </c>
    </row>
    <row r="810" spans="1:6">
      <c r="A810" s="1" t="s">
        <v>459</v>
      </c>
      <c r="B810" s="3">
        <v>47280</v>
      </c>
      <c r="C810">
        <v>100.0</v>
      </c>
      <c r="D810">
        <v>4.875</v>
      </c>
      <c r="E810">
        <v>0.0</v>
      </c>
      <c r="F810">
        <v>4.875</v>
      </c>
    </row>
    <row r="811" spans="1:6">
      <c r="A811" s="1" t="s">
        <v>459</v>
      </c>
      <c r="B811" s="3">
        <v>47463</v>
      </c>
      <c r="C811">
        <v>100.0</v>
      </c>
      <c r="D811">
        <v>4.875</v>
      </c>
      <c r="E811">
        <v>0.0</v>
      </c>
      <c r="F811">
        <v>4.875</v>
      </c>
    </row>
    <row r="812" spans="1:6">
      <c r="A812" s="1" t="s">
        <v>459</v>
      </c>
      <c r="B812" s="3">
        <v>47645</v>
      </c>
      <c r="C812">
        <v>100.0</v>
      </c>
      <c r="D812">
        <v>4.875</v>
      </c>
      <c r="E812">
        <v>0.0</v>
      </c>
      <c r="F812">
        <v>4.875</v>
      </c>
    </row>
    <row r="813" spans="1:6">
      <c r="A813" s="1" t="s">
        <v>459</v>
      </c>
      <c r="B813" s="3">
        <v>47828</v>
      </c>
      <c r="C813">
        <v>100.0</v>
      </c>
      <c r="D813">
        <v>4.875</v>
      </c>
      <c r="E813">
        <v>0.0</v>
      </c>
      <c r="F813">
        <v>4.875</v>
      </c>
    </row>
    <row r="814" spans="1:6">
      <c r="A814" s="1" t="s">
        <v>459</v>
      </c>
      <c r="B814" s="3">
        <v>48010</v>
      </c>
      <c r="C814">
        <v>66.67</v>
      </c>
      <c r="D814">
        <v>4.875</v>
      </c>
      <c r="E814">
        <v>33.33</v>
      </c>
      <c r="F814">
        <v>38.205</v>
      </c>
    </row>
    <row r="815" spans="1:6">
      <c r="A815" s="1" t="s">
        <v>459</v>
      </c>
      <c r="B815" s="3">
        <v>48193</v>
      </c>
      <c r="C815">
        <v>66.67</v>
      </c>
      <c r="D815">
        <v>3.250163</v>
      </c>
      <c r="E815">
        <v>0.0</v>
      </c>
      <c r="F815">
        <v>3.250163</v>
      </c>
    </row>
    <row r="816" spans="1:6">
      <c r="A816" s="1" t="s">
        <v>459</v>
      </c>
      <c r="B816" s="3">
        <v>48376</v>
      </c>
      <c r="C816">
        <v>33.34</v>
      </c>
      <c r="D816">
        <v>3.250163</v>
      </c>
      <c r="E816">
        <v>33.33</v>
      </c>
      <c r="F816">
        <v>36.580163</v>
      </c>
    </row>
    <row r="817" spans="1:6">
      <c r="A817" s="1" t="s">
        <v>459</v>
      </c>
      <c r="B817" s="3">
        <v>48561</v>
      </c>
      <c r="C817">
        <v>33.34</v>
      </c>
      <c r="D817">
        <v>1.625325</v>
      </c>
      <c r="E817">
        <v>0.0</v>
      </c>
      <c r="F817">
        <v>1.625325</v>
      </c>
    </row>
    <row r="818" spans="1:6">
      <c r="A818" s="1" t="s">
        <v>459</v>
      </c>
      <c r="B818" s="3">
        <v>48743</v>
      </c>
      <c r="C818">
        <v>0.0</v>
      </c>
      <c r="D818">
        <v>1.625325</v>
      </c>
      <c r="E818">
        <v>33.34</v>
      </c>
      <c r="F818">
        <v>34.965325</v>
      </c>
    </row>
    <row r="819" spans="1:6">
      <c r="A819" s="1" t="s">
        <v>298</v>
      </c>
      <c r="B819" s="3">
        <v>46036</v>
      </c>
      <c r="C819">
        <v>100.0</v>
      </c>
      <c r="D819">
        <v>3.654795</v>
      </c>
      <c r="E819">
        <v>0.0</v>
      </c>
      <c r="F819">
        <v>3.654795</v>
      </c>
    </row>
    <row r="820" spans="1:6">
      <c r="A820" s="1" t="s">
        <v>298</v>
      </c>
      <c r="B820" s="3">
        <v>46217</v>
      </c>
      <c r="C820">
        <v>100.0</v>
      </c>
      <c r="D820">
        <v>3.595205</v>
      </c>
      <c r="E820">
        <v>0.0</v>
      </c>
      <c r="F820">
        <v>3.595205</v>
      </c>
    </row>
    <row r="821" spans="1:6">
      <c r="A821" s="1" t="s">
        <v>298</v>
      </c>
      <c r="B821" s="3">
        <v>46401</v>
      </c>
      <c r="C821">
        <v>100.0</v>
      </c>
      <c r="D821">
        <v>3.654795</v>
      </c>
      <c r="E821">
        <v>0.0</v>
      </c>
      <c r="F821">
        <v>3.654795</v>
      </c>
    </row>
    <row r="822" spans="1:6">
      <c r="A822" s="1" t="s">
        <v>298</v>
      </c>
      <c r="B822" s="3">
        <v>46582</v>
      </c>
      <c r="C822">
        <v>0.0</v>
      </c>
      <c r="D822">
        <v>3.595205</v>
      </c>
      <c r="E822">
        <v>100.0</v>
      </c>
      <c r="F822">
        <v>103.595205</v>
      </c>
    </row>
    <row r="823" spans="1:6">
      <c r="A823" s="1" t="s">
        <v>433</v>
      </c>
      <c r="B823" s="3">
        <v>46335</v>
      </c>
      <c r="C823">
        <v>100.0</v>
      </c>
      <c r="D823">
        <v>2.89863</v>
      </c>
      <c r="E823">
        <v>0.0</v>
      </c>
      <c r="F823">
        <v>2.89863</v>
      </c>
    </row>
    <row r="824" spans="1:6">
      <c r="A824" s="1" t="s">
        <v>433</v>
      </c>
      <c r="B824" s="3">
        <v>46517</v>
      </c>
      <c r="C824">
        <v>100.0</v>
      </c>
      <c r="D824">
        <v>2.85137</v>
      </c>
      <c r="E824">
        <v>0.0</v>
      </c>
      <c r="F824">
        <v>2.85137</v>
      </c>
    </row>
    <row r="825" spans="1:6">
      <c r="A825" s="1" t="s">
        <v>433</v>
      </c>
      <c r="B825" s="3">
        <v>46699</v>
      </c>
      <c r="C825">
        <v>100.0</v>
      </c>
      <c r="D825">
        <v>2.89863</v>
      </c>
      <c r="E825">
        <v>0.0</v>
      </c>
      <c r="F825">
        <v>2.89863</v>
      </c>
    </row>
    <row r="826" spans="1:6">
      <c r="A826" s="1" t="s">
        <v>433</v>
      </c>
      <c r="B826" s="3">
        <v>46881</v>
      </c>
      <c r="C826">
        <v>100.0</v>
      </c>
      <c r="D826">
        <v>2.867123</v>
      </c>
      <c r="E826">
        <v>0.0</v>
      </c>
      <c r="F826">
        <v>2.867123</v>
      </c>
    </row>
    <row r="827" spans="1:6">
      <c r="A827" s="1" t="s">
        <v>433</v>
      </c>
      <c r="B827" s="3">
        <v>47065</v>
      </c>
      <c r="C827">
        <v>100.0</v>
      </c>
      <c r="D827">
        <v>2.89863</v>
      </c>
      <c r="E827">
        <v>0.0</v>
      </c>
      <c r="F827">
        <v>2.89863</v>
      </c>
    </row>
    <row r="828" spans="1:6">
      <c r="A828" s="1" t="s">
        <v>433</v>
      </c>
      <c r="B828" s="3">
        <v>47246</v>
      </c>
      <c r="C828">
        <v>100.0</v>
      </c>
      <c r="D828">
        <v>2.85137</v>
      </c>
      <c r="E828">
        <v>0.0</v>
      </c>
      <c r="F828">
        <v>2.85137</v>
      </c>
    </row>
    <row r="829" spans="1:6">
      <c r="A829" s="1" t="s">
        <v>433</v>
      </c>
      <c r="B829" s="3">
        <v>47430</v>
      </c>
      <c r="C829">
        <v>0.0</v>
      </c>
      <c r="D829">
        <v>2.89863</v>
      </c>
      <c r="E829">
        <v>100.0</v>
      </c>
      <c r="F829">
        <v>102.89863</v>
      </c>
    </row>
    <row r="830" spans="1:6">
      <c r="A830" s="1" t="s">
        <v>265</v>
      </c>
      <c r="B830" s="3">
        <v>45957</v>
      </c>
      <c r="C830">
        <v>100.0</v>
      </c>
      <c r="D830">
        <v>5.609589</v>
      </c>
      <c r="E830">
        <v>0.0</v>
      </c>
      <c r="F830">
        <v>5.609589</v>
      </c>
    </row>
    <row r="831" spans="1:6">
      <c r="A831" s="1" t="s">
        <v>265</v>
      </c>
      <c r="B831" s="3">
        <v>46139</v>
      </c>
      <c r="C831">
        <v>100.0</v>
      </c>
      <c r="D831">
        <v>3.739726</v>
      </c>
      <c r="E831">
        <v>0.0</v>
      </c>
      <c r="F831">
        <v>3.739726</v>
      </c>
    </row>
    <row r="832" spans="1:6">
      <c r="A832" s="1" t="s">
        <v>265</v>
      </c>
      <c r="B832" s="3">
        <v>46322</v>
      </c>
      <c r="C832">
        <v>100.0</v>
      </c>
      <c r="D832">
        <v>3.760274</v>
      </c>
      <c r="E832">
        <v>0.0</v>
      </c>
      <c r="F832">
        <v>3.760274</v>
      </c>
    </row>
    <row r="833" spans="1:6">
      <c r="A833" s="1" t="s">
        <v>265</v>
      </c>
      <c r="B833" s="3">
        <v>46504</v>
      </c>
      <c r="C833">
        <v>100.0</v>
      </c>
      <c r="D833">
        <v>3.739726</v>
      </c>
      <c r="E833">
        <v>0.0</v>
      </c>
      <c r="F833">
        <v>3.739726</v>
      </c>
    </row>
    <row r="834" spans="1:6">
      <c r="A834" s="1" t="s">
        <v>265</v>
      </c>
      <c r="B834" s="3">
        <v>46687</v>
      </c>
      <c r="C834">
        <v>100.0</v>
      </c>
      <c r="D834">
        <v>3.760274</v>
      </c>
      <c r="E834">
        <v>0.0</v>
      </c>
      <c r="F834">
        <v>3.760274</v>
      </c>
    </row>
    <row r="835" spans="1:6">
      <c r="A835" s="1" t="s">
        <v>265</v>
      </c>
      <c r="B835" s="3">
        <v>46870</v>
      </c>
      <c r="C835">
        <v>100.0</v>
      </c>
      <c r="D835">
        <v>3.760274</v>
      </c>
      <c r="E835">
        <v>0.0</v>
      </c>
      <c r="F835">
        <v>3.760274</v>
      </c>
    </row>
    <row r="836" spans="1:6">
      <c r="A836" s="1" t="s">
        <v>265</v>
      </c>
      <c r="B836" s="3">
        <v>47053</v>
      </c>
      <c r="C836">
        <v>100.0</v>
      </c>
      <c r="D836">
        <v>3.760274</v>
      </c>
      <c r="E836">
        <v>0.0</v>
      </c>
      <c r="F836">
        <v>3.760274</v>
      </c>
    </row>
    <row r="837" spans="1:6">
      <c r="A837" s="1" t="s">
        <v>265</v>
      </c>
      <c r="B837" s="3">
        <v>47235</v>
      </c>
      <c r="C837">
        <v>100.0</v>
      </c>
      <c r="D837">
        <v>3.739726</v>
      </c>
      <c r="E837">
        <v>0.0</v>
      </c>
      <c r="F837">
        <v>3.739726</v>
      </c>
    </row>
    <row r="838" spans="1:6">
      <c r="A838" s="1" t="s">
        <v>265</v>
      </c>
      <c r="B838" s="3">
        <v>47420</v>
      </c>
      <c r="C838">
        <v>100.0</v>
      </c>
      <c r="D838">
        <v>3.760274</v>
      </c>
      <c r="E838">
        <v>0.0</v>
      </c>
      <c r="F838">
        <v>3.760274</v>
      </c>
    </row>
    <row r="839" spans="1:6">
      <c r="A839" s="1" t="s">
        <v>265</v>
      </c>
      <c r="B839" s="3">
        <v>47511</v>
      </c>
      <c r="C839">
        <v>0.0</v>
      </c>
      <c r="D839">
        <v>1.910959</v>
      </c>
      <c r="E839">
        <v>100.0</v>
      </c>
      <c r="F839">
        <v>101.910959</v>
      </c>
    </row>
    <row r="840" spans="1:6">
      <c r="A840" s="1" t="s">
        <v>208</v>
      </c>
      <c r="B840" s="3">
        <v>45992</v>
      </c>
      <c r="C840">
        <v>100.0</v>
      </c>
      <c r="D840">
        <v>4.25</v>
      </c>
      <c r="E840">
        <v>0.0</v>
      </c>
      <c r="F840">
        <v>4.25</v>
      </c>
    </row>
    <row r="841" spans="1:6">
      <c r="A841" s="1" t="s">
        <v>208</v>
      </c>
      <c r="B841" s="3">
        <v>46174</v>
      </c>
      <c r="C841">
        <v>100.0</v>
      </c>
      <c r="D841">
        <v>4.25</v>
      </c>
      <c r="E841">
        <v>0.0</v>
      </c>
      <c r="F841">
        <v>4.25</v>
      </c>
    </row>
    <row r="842" spans="1:6">
      <c r="A842" s="1" t="s">
        <v>208</v>
      </c>
      <c r="B842" s="3">
        <v>46356</v>
      </c>
      <c r="C842">
        <v>100.0</v>
      </c>
      <c r="D842">
        <v>4.25</v>
      </c>
      <c r="E842">
        <v>0.0</v>
      </c>
      <c r="F842">
        <v>4.25</v>
      </c>
    </row>
    <row r="843" spans="1:6">
      <c r="A843" s="1" t="s">
        <v>208</v>
      </c>
      <c r="B843" s="3">
        <v>46538</v>
      </c>
      <c r="C843">
        <v>100.0</v>
      </c>
      <c r="D843">
        <v>4.25</v>
      </c>
      <c r="E843">
        <v>0.0</v>
      </c>
      <c r="F843">
        <v>4.25</v>
      </c>
    </row>
    <row r="844" spans="1:6">
      <c r="A844" s="1" t="s">
        <v>208</v>
      </c>
      <c r="B844" s="3">
        <v>46721</v>
      </c>
      <c r="C844">
        <v>100.0</v>
      </c>
      <c r="D844">
        <v>4.25</v>
      </c>
      <c r="E844">
        <v>0.0</v>
      </c>
      <c r="F844">
        <v>4.25</v>
      </c>
    </row>
    <row r="845" spans="1:6">
      <c r="A845" s="1" t="s">
        <v>208</v>
      </c>
      <c r="B845" s="3">
        <v>46903</v>
      </c>
      <c r="C845">
        <v>100.0</v>
      </c>
      <c r="D845">
        <v>4.25</v>
      </c>
      <c r="E845">
        <v>0.0</v>
      </c>
      <c r="F845">
        <v>4.25</v>
      </c>
    </row>
    <row r="846" spans="1:6">
      <c r="A846" s="1" t="s">
        <v>208</v>
      </c>
      <c r="B846" s="3">
        <v>47087</v>
      </c>
      <c r="C846">
        <v>100.0</v>
      </c>
      <c r="D846">
        <v>4.25</v>
      </c>
      <c r="E846">
        <v>0.0</v>
      </c>
      <c r="F846">
        <v>4.25</v>
      </c>
    </row>
    <row r="847" spans="1:6">
      <c r="A847" s="1" t="s">
        <v>208</v>
      </c>
      <c r="B847" s="3">
        <v>47268</v>
      </c>
      <c r="C847">
        <v>100.0</v>
      </c>
      <c r="D847">
        <v>4.25</v>
      </c>
      <c r="E847">
        <v>0.0</v>
      </c>
      <c r="F847">
        <v>4.25</v>
      </c>
    </row>
    <row r="848" spans="1:6">
      <c r="A848" s="1" t="s">
        <v>208</v>
      </c>
      <c r="B848" s="3">
        <v>47452</v>
      </c>
      <c r="C848">
        <v>100.0</v>
      </c>
      <c r="D848">
        <v>4.25</v>
      </c>
      <c r="E848">
        <v>0.0</v>
      </c>
      <c r="F848">
        <v>4.25</v>
      </c>
    </row>
    <row r="849" spans="1:6">
      <c r="A849" s="1" t="s">
        <v>208</v>
      </c>
      <c r="B849" s="3">
        <v>47633</v>
      </c>
      <c r="C849">
        <v>100.0</v>
      </c>
      <c r="D849">
        <v>4.25</v>
      </c>
      <c r="E849">
        <v>0.0</v>
      </c>
      <c r="F849">
        <v>4.25</v>
      </c>
    </row>
    <row r="850" spans="1:6">
      <c r="A850" s="1" t="s">
        <v>208</v>
      </c>
      <c r="B850" s="3">
        <v>47819</v>
      </c>
      <c r="C850">
        <v>100.0</v>
      </c>
      <c r="D850">
        <v>4.25</v>
      </c>
      <c r="E850">
        <v>0.0</v>
      </c>
      <c r="F850">
        <v>4.25</v>
      </c>
    </row>
    <row r="851" spans="1:6">
      <c r="A851" s="1" t="s">
        <v>208</v>
      </c>
      <c r="B851" s="3">
        <v>47998</v>
      </c>
      <c r="C851">
        <v>100.0</v>
      </c>
      <c r="D851">
        <v>4.25</v>
      </c>
      <c r="E851">
        <v>0.0</v>
      </c>
      <c r="F851">
        <v>4.25</v>
      </c>
    </row>
    <row r="852" spans="1:6">
      <c r="A852" s="1" t="s">
        <v>208</v>
      </c>
      <c r="B852" s="3">
        <v>48183</v>
      </c>
      <c r="C852">
        <v>100.0</v>
      </c>
      <c r="D852">
        <v>4.25</v>
      </c>
      <c r="E852">
        <v>0.0</v>
      </c>
      <c r="F852">
        <v>4.25</v>
      </c>
    </row>
    <row r="853" spans="1:6">
      <c r="A853" s="1" t="s">
        <v>208</v>
      </c>
      <c r="B853" s="3">
        <v>48365</v>
      </c>
      <c r="C853">
        <v>0.0</v>
      </c>
      <c r="D853">
        <v>4.25</v>
      </c>
      <c r="E853">
        <v>100.0</v>
      </c>
      <c r="F853">
        <v>104.25</v>
      </c>
    </row>
    <row r="854" spans="1:6">
      <c r="A854" s="1" t="s">
        <v>206</v>
      </c>
      <c r="B854" s="3">
        <v>46160</v>
      </c>
      <c r="C854">
        <v>100.0</v>
      </c>
      <c r="D854">
        <v>4.0625</v>
      </c>
      <c r="E854">
        <v>0.0</v>
      </c>
      <c r="F854">
        <v>4.0625</v>
      </c>
    </row>
    <row r="855" spans="1:6">
      <c r="A855" s="1" t="s">
        <v>206</v>
      </c>
      <c r="B855" s="3">
        <v>46344</v>
      </c>
      <c r="C855">
        <v>100.0</v>
      </c>
      <c r="D855">
        <v>4.0625</v>
      </c>
      <c r="E855">
        <v>0.0</v>
      </c>
      <c r="F855">
        <v>4.0625</v>
      </c>
    </row>
    <row r="856" spans="1:6">
      <c r="A856" s="1" t="s">
        <v>206</v>
      </c>
      <c r="B856" s="3">
        <v>46525</v>
      </c>
      <c r="C856">
        <v>100.0</v>
      </c>
      <c r="D856">
        <v>4.0625</v>
      </c>
      <c r="E856">
        <v>0.0</v>
      </c>
      <c r="F856">
        <v>4.0625</v>
      </c>
    </row>
    <row r="857" spans="1:6">
      <c r="A857" s="1" t="s">
        <v>206</v>
      </c>
      <c r="B857" s="3">
        <v>46709</v>
      </c>
      <c r="C857">
        <v>100.0</v>
      </c>
      <c r="D857">
        <v>4.0625</v>
      </c>
      <c r="E857">
        <v>0.0</v>
      </c>
      <c r="F857">
        <v>4.0625</v>
      </c>
    </row>
    <row r="858" spans="1:6">
      <c r="A858" s="1" t="s">
        <v>206</v>
      </c>
      <c r="B858" s="3">
        <v>46891</v>
      </c>
      <c r="C858">
        <v>100.0</v>
      </c>
      <c r="D858">
        <v>4.0625</v>
      </c>
      <c r="E858">
        <v>0.0</v>
      </c>
      <c r="F858">
        <v>4.0625</v>
      </c>
    </row>
    <row r="859" spans="1:6">
      <c r="A859" s="1" t="s">
        <v>206</v>
      </c>
      <c r="B859" s="3">
        <v>47078</v>
      </c>
      <c r="C859">
        <v>100.0</v>
      </c>
      <c r="D859">
        <v>4.0625</v>
      </c>
      <c r="E859">
        <v>0.0</v>
      </c>
      <c r="F859">
        <v>4.0625</v>
      </c>
    </row>
    <row r="860" spans="1:6">
      <c r="A860" s="1" t="s">
        <v>206</v>
      </c>
      <c r="B860" s="3">
        <v>47256</v>
      </c>
      <c r="C860">
        <v>100.0</v>
      </c>
      <c r="D860">
        <v>4.0625</v>
      </c>
      <c r="E860">
        <v>0.0</v>
      </c>
      <c r="F860">
        <v>4.0625</v>
      </c>
    </row>
    <row r="861" spans="1:6">
      <c r="A861" s="1" t="s">
        <v>206</v>
      </c>
      <c r="B861" s="3">
        <v>47441</v>
      </c>
      <c r="C861">
        <v>100.0</v>
      </c>
      <c r="D861">
        <v>4.0625</v>
      </c>
      <c r="E861">
        <v>0.0</v>
      </c>
      <c r="F861">
        <v>4.0625</v>
      </c>
    </row>
    <row r="862" spans="1:6">
      <c r="A862" s="1" t="s">
        <v>206</v>
      </c>
      <c r="B862" s="3">
        <v>47623</v>
      </c>
      <c r="C862">
        <v>100.0</v>
      </c>
      <c r="D862">
        <v>4.0625</v>
      </c>
      <c r="E862">
        <v>0.0</v>
      </c>
      <c r="F862">
        <v>4.0625</v>
      </c>
    </row>
    <row r="863" spans="1:6">
      <c r="A863" s="1" t="s">
        <v>206</v>
      </c>
      <c r="B863" s="3">
        <v>47805</v>
      </c>
      <c r="C863">
        <v>100.0</v>
      </c>
      <c r="D863">
        <v>4.0625</v>
      </c>
      <c r="E863">
        <v>0.0</v>
      </c>
      <c r="F863">
        <v>4.0625</v>
      </c>
    </row>
    <row r="864" spans="1:6">
      <c r="A864" s="1" t="s">
        <v>206</v>
      </c>
      <c r="B864" s="3">
        <v>47987</v>
      </c>
      <c r="C864">
        <v>0.0</v>
      </c>
      <c r="D864">
        <v>4.0625</v>
      </c>
      <c r="E864">
        <v>100.0</v>
      </c>
      <c r="F864">
        <v>104.0625</v>
      </c>
    </row>
    <row r="865" spans="1:6">
      <c r="A865" s="1" t="s">
        <v>263</v>
      </c>
      <c r="B865" s="3">
        <v>46353</v>
      </c>
      <c r="C865">
        <v>100.0</v>
      </c>
      <c r="D865">
        <v>4.861644</v>
      </c>
      <c r="E865">
        <v>0.0</v>
      </c>
      <c r="F865">
        <v>4.861644</v>
      </c>
    </row>
    <row r="866" spans="1:6">
      <c r="A866" s="1" t="s">
        <v>263</v>
      </c>
      <c r="B866" s="3">
        <v>46534</v>
      </c>
      <c r="C866">
        <v>100.0</v>
      </c>
      <c r="D866">
        <v>3.223288</v>
      </c>
      <c r="E866">
        <v>0.0</v>
      </c>
      <c r="F866">
        <v>3.223288</v>
      </c>
    </row>
    <row r="867" spans="1:6">
      <c r="A867" s="1" t="s">
        <v>263</v>
      </c>
      <c r="B867" s="3">
        <v>46720</v>
      </c>
      <c r="C867">
        <v>100.0</v>
      </c>
      <c r="D867">
        <v>3.276712</v>
      </c>
      <c r="E867">
        <v>0.0</v>
      </c>
      <c r="F867">
        <v>3.276712</v>
      </c>
    </row>
    <row r="868" spans="1:6">
      <c r="A868" s="1" t="s">
        <v>263</v>
      </c>
      <c r="B868" s="3">
        <v>46902</v>
      </c>
      <c r="C868">
        <v>100.0</v>
      </c>
      <c r="D868">
        <v>3.241096</v>
      </c>
      <c r="E868">
        <v>0.0</v>
      </c>
      <c r="F868">
        <v>3.241096</v>
      </c>
    </row>
    <row r="869" spans="1:6">
      <c r="A869" s="1" t="s">
        <v>263</v>
      </c>
      <c r="B869" s="3">
        <v>47084</v>
      </c>
      <c r="C869">
        <v>100.0</v>
      </c>
      <c r="D869">
        <v>3.276712</v>
      </c>
      <c r="E869">
        <v>0.0</v>
      </c>
      <c r="F869">
        <v>3.276712</v>
      </c>
    </row>
    <row r="870" spans="1:6">
      <c r="A870" s="1" t="s">
        <v>263</v>
      </c>
      <c r="B870" s="3">
        <v>47176</v>
      </c>
      <c r="C870">
        <v>0.0</v>
      </c>
      <c r="D870">
        <v>1.638356</v>
      </c>
      <c r="E870">
        <v>100.0</v>
      </c>
      <c r="F870">
        <v>101.638356</v>
      </c>
    </row>
    <row r="871" spans="1:6">
      <c r="A871" s="1" t="s">
        <v>210</v>
      </c>
      <c r="B871" s="3">
        <v>46476</v>
      </c>
      <c r="C871">
        <v>100.0</v>
      </c>
      <c r="D871">
        <v>5.6625</v>
      </c>
      <c r="E871">
        <v>0.0</v>
      </c>
      <c r="F871">
        <v>5.6625</v>
      </c>
    </row>
    <row r="872" spans="1:6">
      <c r="A872" s="1" t="s">
        <v>210</v>
      </c>
      <c r="B872" s="3">
        <v>46660</v>
      </c>
      <c r="C872">
        <v>100.0</v>
      </c>
      <c r="D872">
        <v>3.775</v>
      </c>
      <c r="E872">
        <v>0.0</v>
      </c>
      <c r="F872">
        <v>3.775</v>
      </c>
    </row>
    <row r="873" spans="1:6">
      <c r="A873" s="1" t="s">
        <v>210</v>
      </c>
      <c r="B873" s="3">
        <v>46842</v>
      </c>
      <c r="C873">
        <v>100.0</v>
      </c>
      <c r="D873">
        <v>3.775</v>
      </c>
      <c r="E873">
        <v>0.0</v>
      </c>
      <c r="F873">
        <v>3.775</v>
      </c>
    </row>
    <row r="874" spans="1:6">
      <c r="A874" s="1" t="s">
        <v>210</v>
      </c>
      <c r="B874" s="3">
        <v>47028</v>
      </c>
      <c r="C874">
        <v>100.0</v>
      </c>
      <c r="D874">
        <v>3.775</v>
      </c>
      <c r="E874">
        <v>0.0</v>
      </c>
      <c r="F874">
        <v>3.775</v>
      </c>
    </row>
    <row r="875" spans="1:6">
      <c r="A875" s="1" t="s">
        <v>210</v>
      </c>
      <c r="B875" s="3">
        <v>47207</v>
      </c>
      <c r="C875">
        <v>100.0</v>
      </c>
      <c r="D875">
        <v>3.775</v>
      </c>
      <c r="E875">
        <v>0.0</v>
      </c>
      <c r="F875">
        <v>3.775</v>
      </c>
    </row>
    <row r="876" spans="1:6">
      <c r="A876" s="1" t="s">
        <v>210</v>
      </c>
      <c r="B876" s="3">
        <v>47392</v>
      </c>
      <c r="C876">
        <v>100.0</v>
      </c>
      <c r="D876">
        <v>3.775</v>
      </c>
      <c r="E876">
        <v>0.0</v>
      </c>
      <c r="F876">
        <v>3.775</v>
      </c>
    </row>
    <row r="877" spans="1:6">
      <c r="A877" s="1" t="s">
        <v>210</v>
      </c>
      <c r="B877" s="3">
        <v>47574</v>
      </c>
      <c r="C877">
        <v>100.0</v>
      </c>
      <c r="D877">
        <v>3.775</v>
      </c>
      <c r="E877">
        <v>0.0</v>
      </c>
      <c r="F877">
        <v>3.775</v>
      </c>
    </row>
    <row r="878" spans="1:6">
      <c r="A878" s="1" t="s">
        <v>210</v>
      </c>
      <c r="B878" s="3">
        <v>47756</v>
      </c>
      <c r="C878">
        <v>100.0</v>
      </c>
      <c r="D878">
        <v>3.775</v>
      </c>
      <c r="E878">
        <v>0.0</v>
      </c>
      <c r="F878">
        <v>3.775</v>
      </c>
    </row>
    <row r="879" spans="1:6">
      <c r="A879" s="1" t="s">
        <v>210</v>
      </c>
      <c r="B879" s="3">
        <v>47938</v>
      </c>
      <c r="C879">
        <v>100.0</v>
      </c>
      <c r="D879">
        <v>3.775</v>
      </c>
      <c r="E879">
        <v>0.0</v>
      </c>
      <c r="F879">
        <v>3.775</v>
      </c>
    </row>
    <row r="880" spans="1:6">
      <c r="A880" s="1" t="s">
        <v>210</v>
      </c>
      <c r="B880" s="3">
        <v>48121</v>
      </c>
      <c r="C880">
        <v>100.0</v>
      </c>
      <c r="D880">
        <v>3.775</v>
      </c>
      <c r="E880">
        <v>0.0</v>
      </c>
      <c r="F880">
        <v>3.775</v>
      </c>
    </row>
    <row r="881" spans="1:6">
      <c r="A881" s="1" t="s">
        <v>210</v>
      </c>
      <c r="B881" s="3">
        <v>48303</v>
      </c>
      <c r="C881">
        <v>100.0</v>
      </c>
      <c r="D881">
        <v>3.775</v>
      </c>
      <c r="E881">
        <v>0.0</v>
      </c>
      <c r="F881">
        <v>3.775</v>
      </c>
    </row>
    <row r="882" spans="1:6">
      <c r="A882" s="1" t="s">
        <v>210</v>
      </c>
      <c r="B882" s="3">
        <v>48487</v>
      </c>
      <c r="C882">
        <v>100.0</v>
      </c>
      <c r="D882">
        <v>3.775</v>
      </c>
      <c r="E882">
        <v>0.0</v>
      </c>
      <c r="F882">
        <v>3.775</v>
      </c>
    </row>
    <row r="883" spans="1:6">
      <c r="A883" s="1" t="s">
        <v>210</v>
      </c>
      <c r="B883" s="3">
        <v>48668</v>
      </c>
      <c r="C883">
        <v>100.0</v>
      </c>
      <c r="D883">
        <v>3.775</v>
      </c>
      <c r="E883">
        <v>0.0</v>
      </c>
      <c r="F883">
        <v>3.775</v>
      </c>
    </row>
    <row r="884" spans="1:6">
      <c r="A884" s="1" t="s">
        <v>210</v>
      </c>
      <c r="B884" s="3">
        <v>48852</v>
      </c>
      <c r="C884">
        <v>100.0</v>
      </c>
      <c r="D884">
        <v>3.775</v>
      </c>
      <c r="E884">
        <v>0.0</v>
      </c>
      <c r="F884">
        <v>3.775</v>
      </c>
    </row>
    <row r="885" spans="1:6">
      <c r="A885" s="1" t="s">
        <v>210</v>
      </c>
      <c r="B885" s="3">
        <v>49033</v>
      </c>
      <c r="C885">
        <v>100.0</v>
      </c>
      <c r="D885">
        <v>3.775</v>
      </c>
      <c r="E885">
        <v>0.0</v>
      </c>
      <c r="F885">
        <v>3.775</v>
      </c>
    </row>
    <row r="886" spans="1:6">
      <c r="A886" s="1" t="s">
        <v>210</v>
      </c>
      <c r="B886" s="3">
        <v>49219</v>
      </c>
      <c r="C886">
        <v>100.0</v>
      </c>
      <c r="D886">
        <v>3.775</v>
      </c>
      <c r="E886">
        <v>0.0</v>
      </c>
      <c r="F886">
        <v>3.775</v>
      </c>
    </row>
    <row r="887" spans="1:6">
      <c r="A887" s="1" t="s">
        <v>210</v>
      </c>
      <c r="B887" s="3">
        <v>49398</v>
      </c>
      <c r="C887">
        <v>100.0</v>
      </c>
      <c r="D887">
        <v>3.775</v>
      </c>
      <c r="E887">
        <v>0.0</v>
      </c>
      <c r="F887">
        <v>3.775</v>
      </c>
    </row>
    <row r="888" spans="1:6">
      <c r="A888" s="1" t="s">
        <v>210</v>
      </c>
      <c r="B888" s="3">
        <v>49583</v>
      </c>
      <c r="C888">
        <v>67.0</v>
      </c>
      <c r="D888">
        <v>3.775</v>
      </c>
      <c r="E888">
        <v>33.0</v>
      </c>
      <c r="F888">
        <v>36.775</v>
      </c>
    </row>
    <row r="889" spans="1:6">
      <c r="A889" s="1" t="s">
        <v>210</v>
      </c>
      <c r="B889" s="3">
        <v>49765</v>
      </c>
      <c r="C889">
        <v>67.0</v>
      </c>
      <c r="D889">
        <v>2.52925</v>
      </c>
      <c r="E889">
        <v>0.0</v>
      </c>
      <c r="F889">
        <v>2.52925</v>
      </c>
    </row>
    <row r="890" spans="1:6">
      <c r="A890" s="1" t="s">
        <v>210</v>
      </c>
      <c r="B890" s="3">
        <v>49948</v>
      </c>
      <c r="C890">
        <v>34.0</v>
      </c>
      <c r="D890">
        <v>2.52925</v>
      </c>
      <c r="E890">
        <v>33.0</v>
      </c>
      <c r="F890">
        <v>35.52925</v>
      </c>
    </row>
    <row r="891" spans="1:6">
      <c r="A891" s="1" t="s">
        <v>210</v>
      </c>
      <c r="B891" s="3">
        <v>50129</v>
      </c>
      <c r="C891">
        <v>34.0</v>
      </c>
      <c r="D891">
        <v>1.2835</v>
      </c>
      <c r="E891">
        <v>0.0</v>
      </c>
      <c r="F891">
        <v>1.2835</v>
      </c>
    </row>
    <row r="892" spans="1:6">
      <c r="A892" s="1" t="s">
        <v>210</v>
      </c>
      <c r="B892" s="3">
        <v>50313</v>
      </c>
      <c r="C892">
        <v>0.0</v>
      </c>
      <c r="D892">
        <v>1.2835</v>
      </c>
      <c r="E892">
        <v>34.0</v>
      </c>
      <c r="F892">
        <v>35.2835</v>
      </c>
    </row>
    <row r="893" spans="1:6">
      <c r="A893" s="1" t="s">
        <v>128</v>
      </c>
      <c r="B893" s="3">
        <v>44459</v>
      </c>
      <c r="C893">
        <v>100.0</v>
      </c>
      <c r="D893">
        <v>3.666667</v>
      </c>
      <c r="E893">
        <v>0.0</v>
      </c>
      <c r="F893">
        <v>3.666667</v>
      </c>
    </row>
    <row r="894" spans="1:6">
      <c r="A894" s="1" t="s">
        <v>128</v>
      </c>
      <c r="B894" s="3">
        <v>44641</v>
      </c>
      <c r="C894">
        <v>100.0</v>
      </c>
      <c r="D894">
        <v>2.125</v>
      </c>
      <c r="E894">
        <v>0.0</v>
      </c>
      <c r="F894">
        <v>2.125</v>
      </c>
    </row>
    <row r="895" spans="1:6">
      <c r="A895" s="1" t="s">
        <v>128</v>
      </c>
      <c r="B895" s="3">
        <v>44823</v>
      </c>
      <c r="C895">
        <v>100.0</v>
      </c>
      <c r="D895">
        <v>2.125</v>
      </c>
      <c r="E895">
        <v>0.0</v>
      </c>
      <c r="F895">
        <v>2.125</v>
      </c>
    </row>
    <row r="896" spans="1:6">
      <c r="A896" s="1" t="s">
        <v>128</v>
      </c>
      <c r="B896" s="3">
        <v>45005</v>
      </c>
      <c r="C896">
        <v>92.3077</v>
      </c>
      <c r="D896">
        <v>2.125</v>
      </c>
      <c r="E896">
        <v>7.692308</v>
      </c>
      <c r="F896">
        <v>9.817308</v>
      </c>
    </row>
    <row r="897" spans="1:6">
      <c r="A897" s="1" t="s">
        <v>128</v>
      </c>
      <c r="B897" s="3">
        <v>45188</v>
      </c>
      <c r="C897">
        <v>84.6154</v>
      </c>
      <c r="D897">
        <v>2.653846</v>
      </c>
      <c r="E897">
        <v>7.692308</v>
      </c>
      <c r="F897">
        <v>10.346154</v>
      </c>
    </row>
    <row r="898" spans="1:6">
      <c r="A898" s="1" t="s">
        <v>128</v>
      </c>
      <c r="B898" s="3">
        <v>45370</v>
      </c>
      <c r="C898">
        <v>76.9231</v>
      </c>
      <c r="D898">
        <v>2.432692</v>
      </c>
      <c r="E898">
        <v>7.692308</v>
      </c>
      <c r="F898">
        <v>10.125</v>
      </c>
    </row>
    <row r="899" spans="1:6">
      <c r="A899" s="1" t="s">
        <v>128</v>
      </c>
      <c r="B899" s="3">
        <v>45554</v>
      </c>
      <c r="C899">
        <v>69.2308</v>
      </c>
      <c r="D899">
        <v>2.211538</v>
      </c>
      <c r="E899">
        <v>7.692308</v>
      </c>
      <c r="F899">
        <v>9.903846</v>
      </c>
    </row>
    <row r="900" spans="1:6">
      <c r="A900" s="1" t="s">
        <v>128</v>
      </c>
      <c r="B900" s="3">
        <v>45735</v>
      </c>
      <c r="C900">
        <v>61.5385</v>
      </c>
      <c r="D900">
        <v>1.990385</v>
      </c>
      <c r="E900">
        <v>7.692308</v>
      </c>
      <c r="F900">
        <v>9.682692</v>
      </c>
    </row>
    <row r="901" spans="1:6">
      <c r="A901" s="1" t="s">
        <v>128</v>
      </c>
      <c r="B901" s="3">
        <v>45919</v>
      </c>
      <c r="C901">
        <v>53.8462</v>
      </c>
      <c r="D901">
        <v>1.769231</v>
      </c>
      <c r="E901">
        <v>7.692308</v>
      </c>
      <c r="F901">
        <v>9.461538</v>
      </c>
    </row>
    <row r="902" spans="1:6">
      <c r="A902" s="1" t="s">
        <v>128</v>
      </c>
      <c r="B902" s="3">
        <v>46100</v>
      </c>
      <c r="C902">
        <v>46.1538</v>
      </c>
      <c r="D902">
        <v>1.548077</v>
      </c>
      <c r="E902">
        <v>7.692308</v>
      </c>
      <c r="F902">
        <v>9.240385</v>
      </c>
    </row>
    <row r="903" spans="1:6">
      <c r="A903" s="1" t="s">
        <v>128</v>
      </c>
      <c r="B903" s="3">
        <v>46286</v>
      </c>
      <c r="C903">
        <v>38.4615</v>
      </c>
      <c r="D903">
        <v>1.326923</v>
      </c>
      <c r="E903">
        <v>7.692308</v>
      </c>
      <c r="F903">
        <v>9.019231</v>
      </c>
    </row>
    <row r="904" spans="1:6">
      <c r="A904" s="1" t="s">
        <v>128</v>
      </c>
      <c r="B904" s="3">
        <v>46465</v>
      </c>
      <c r="C904">
        <v>30.7692</v>
      </c>
      <c r="D904">
        <v>1.105769</v>
      </c>
      <c r="E904">
        <v>7.692308</v>
      </c>
      <c r="F904">
        <v>8.798077</v>
      </c>
    </row>
    <row r="905" spans="1:6">
      <c r="A905" s="1" t="s">
        <v>128</v>
      </c>
      <c r="B905" s="3">
        <v>46650</v>
      </c>
      <c r="C905">
        <v>23.0769</v>
      </c>
      <c r="D905">
        <v>0.884615</v>
      </c>
      <c r="E905">
        <v>7.692308</v>
      </c>
      <c r="F905">
        <v>8.576923</v>
      </c>
    </row>
    <row r="906" spans="1:6">
      <c r="A906" s="1" t="s">
        <v>128</v>
      </c>
      <c r="B906" s="3">
        <v>46832</v>
      </c>
      <c r="C906">
        <v>15.3846</v>
      </c>
      <c r="D906">
        <v>0.663461</v>
      </c>
      <c r="E906">
        <v>7.692308</v>
      </c>
      <c r="F906">
        <v>8.355769</v>
      </c>
    </row>
    <row r="907" spans="1:6">
      <c r="A907" s="1" t="s">
        <v>128</v>
      </c>
      <c r="B907" s="3">
        <v>47015</v>
      </c>
      <c r="C907">
        <v>7.6923</v>
      </c>
      <c r="D907">
        <v>0.442308</v>
      </c>
      <c r="E907">
        <v>7.692308</v>
      </c>
      <c r="F907">
        <v>8.134615</v>
      </c>
    </row>
    <row r="908" spans="1:6">
      <c r="A908" s="1" t="s">
        <v>128</v>
      </c>
      <c r="B908" s="3">
        <v>47196</v>
      </c>
      <c r="C908">
        <v>0.0</v>
      </c>
      <c r="D908">
        <v>0.221154</v>
      </c>
      <c r="E908">
        <v>7.692304</v>
      </c>
      <c r="F908">
        <v>7.913457</v>
      </c>
    </row>
    <row r="909" spans="1:6">
      <c r="A909" s="1" t="s">
        <v>251</v>
      </c>
      <c r="B909" s="3">
        <v>45743</v>
      </c>
      <c r="C909">
        <v>100.0</v>
      </c>
      <c r="D909">
        <v>3.471233</v>
      </c>
      <c r="E909">
        <v>0.0</v>
      </c>
      <c r="F909">
        <v>3.471233</v>
      </c>
    </row>
    <row r="910" spans="1:6">
      <c r="A910" s="1" t="s">
        <v>251</v>
      </c>
      <c r="B910" s="3">
        <v>45929</v>
      </c>
      <c r="C910">
        <v>100.0</v>
      </c>
      <c r="D910">
        <v>3.528767</v>
      </c>
      <c r="E910">
        <v>0.0</v>
      </c>
      <c r="F910">
        <v>3.528767</v>
      </c>
    </row>
    <row r="911" spans="1:6">
      <c r="A911" s="1" t="s">
        <v>251</v>
      </c>
      <c r="B911" s="3">
        <v>46108</v>
      </c>
      <c r="C911">
        <v>100.0</v>
      </c>
      <c r="D911">
        <v>3.471233</v>
      </c>
      <c r="E911">
        <v>0.0</v>
      </c>
      <c r="F911">
        <v>3.471233</v>
      </c>
    </row>
    <row r="912" spans="1:6">
      <c r="A912" s="1" t="s">
        <v>251</v>
      </c>
      <c r="B912" s="3">
        <v>46293</v>
      </c>
      <c r="C912">
        <v>100.0</v>
      </c>
      <c r="D912">
        <v>3.528767</v>
      </c>
      <c r="E912">
        <v>0.0</v>
      </c>
      <c r="F912">
        <v>3.528767</v>
      </c>
    </row>
    <row r="913" spans="1:6">
      <c r="A913" s="1" t="s">
        <v>251</v>
      </c>
      <c r="B913" s="3">
        <v>46475</v>
      </c>
      <c r="C913">
        <v>100.0</v>
      </c>
      <c r="D913">
        <v>3.471233</v>
      </c>
      <c r="E913">
        <v>0.0</v>
      </c>
      <c r="F913">
        <v>3.471233</v>
      </c>
    </row>
    <row r="914" spans="1:6">
      <c r="A914" s="1" t="s">
        <v>251</v>
      </c>
      <c r="B914" s="3">
        <v>46657</v>
      </c>
      <c r="C914">
        <v>100.0</v>
      </c>
      <c r="D914">
        <v>3.528767</v>
      </c>
      <c r="E914">
        <v>0.0</v>
      </c>
      <c r="F914">
        <v>3.528767</v>
      </c>
    </row>
    <row r="915" spans="1:6">
      <c r="A915" s="1" t="s">
        <v>251</v>
      </c>
      <c r="B915" s="3">
        <v>46839</v>
      </c>
      <c r="C915">
        <v>100.0</v>
      </c>
      <c r="D915">
        <v>3.490411</v>
      </c>
      <c r="E915">
        <v>0.0</v>
      </c>
      <c r="F915">
        <v>3.490411</v>
      </c>
    </row>
    <row r="916" spans="1:6">
      <c r="A916" s="1" t="s">
        <v>251</v>
      </c>
      <c r="B916" s="3">
        <v>47023</v>
      </c>
      <c r="C916">
        <v>100.0</v>
      </c>
      <c r="D916">
        <v>3.528767</v>
      </c>
      <c r="E916">
        <v>0.0</v>
      </c>
      <c r="F916">
        <v>3.528767</v>
      </c>
    </row>
    <row r="917" spans="1:6">
      <c r="A917" s="1" t="s">
        <v>251</v>
      </c>
      <c r="B917" s="3">
        <v>47204</v>
      </c>
      <c r="C917">
        <v>100.0</v>
      </c>
      <c r="D917">
        <v>3.471233</v>
      </c>
      <c r="E917">
        <v>0.0</v>
      </c>
      <c r="F917">
        <v>3.471233</v>
      </c>
    </row>
    <row r="918" spans="1:6">
      <c r="A918" s="1" t="s">
        <v>251</v>
      </c>
      <c r="B918" s="3">
        <v>47388</v>
      </c>
      <c r="C918">
        <v>0.0</v>
      </c>
      <c r="D918">
        <v>3.528767</v>
      </c>
      <c r="E918">
        <v>100.0</v>
      </c>
      <c r="F918">
        <v>103.528767</v>
      </c>
    </row>
    <row r="919" spans="1:6">
      <c r="A919" s="1" t="s">
        <v>253</v>
      </c>
      <c r="B919" s="3">
        <v>45790</v>
      </c>
      <c r="C919">
        <v>100.0</v>
      </c>
      <c r="D919">
        <v>3.595205</v>
      </c>
      <c r="E919">
        <v>0.0</v>
      </c>
      <c r="F919">
        <v>3.595205</v>
      </c>
    </row>
    <row r="920" spans="1:6">
      <c r="A920" s="1" t="s">
        <v>253</v>
      </c>
      <c r="B920" s="3">
        <v>45974</v>
      </c>
      <c r="C920">
        <v>100.0</v>
      </c>
      <c r="D920">
        <v>3.654795</v>
      </c>
      <c r="E920">
        <v>0.0</v>
      </c>
      <c r="F920">
        <v>3.654795</v>
      </c>
    </row>
    <row r="921" spans="1:6">
      <c r="A921" s="1" t="s">
        <v>253</v>
      </c>
      <c r="B921" s="3">
        <v>46155</v>
      </c>
      <c r="C921">
        <v>100.0</v>
      </c>
      <c r="D921">
        <v>3.595205</v>
      </c>
      <c r="E921">
        <v>0.0</v>
      </c>
      <c r="F921">
        <v>3.595205</v>
      </c>
    </row>
    <row r="922" spans="1:6">
      <c r="A922" s="1" t="s">
        <v>253</v>
      </c>
      <c r="B922" s="3">
        <v>46339</v>
      </c>
      <c r="C922">
        <v>100.0</v>
      </c>
      <c r="D922">
        <v>3.654795</v>
      </c>
      <c r="E922">
        <v>0.0</v>
      </c>
      <c r="F922">
        <v>3.654795</v>
      </c>
    </row>
    <row r="923" spans="1:6">
      <c r="A923" s="1" t="s">
        <v>253</v>
      </c>
      <c r="B923" s="3">
        <v>46520</v>
      </c>
      <c r="C923">
        <v>100.0</v>
      </c>
      <c r="D923">
        <v>3.595205</v>
      </c>
      <c r="E923">
        <v>0.0</v>
      </c>
      <c r="F923">
        <v>3.595205</v>
      </c>
    </row>
    <row r="924" spans="1:6">
      <c r="A924" s="1" t="s">
        <v>253</v>
      </c>
      <c r="B924" s="3">
        <v>46706</v>
      </c>
      <c r="C924">
        <v>100.0</v>
      </c>
      <c r="D924">
        <v>3.654795</v>
      </c>
      <c r="E924">
        <v>0.0</v>
      </c>
      <c r="F924">
        <v>3.654795</v>
      </c>
    </row>
    <row r="925" spans="1:6">
      <c r="A925" s="1" t="s">
        <v>253</v>
      </c>
      <c r="B925" s="3">
        <v>46888</v>
      </c>
      <c r="C925">
        <v>100.0</v>
      </c>
      <c r="D925">
        <v>3.615068</v>
      </c>
      <c r="E925">
        <v>0.0</v>
      </c>
      <c r="F925">
        <v>3.615068</v>
      </c>
    </row>
    <row r="926" spans="1:6">
      <c r="A926" s="1" t="s">
        <v>253</v>
      </c>
      <c r="B926" s="3">
        <v>47070</v>
      </c>
      <c r="C926">
        <v>100.0</v>
      </c>
      <c r="D926">
        <v>3.654795</v>
      </c>
      <c r="E926">
        <v>0.0</v>
      </c>
      <c r="F926">
        <v>3.654795</v>
      </c>
    </row>
    <row r="927" spans="1:6">
      <c r="A927" s="1" t="s">
        <v>253</v>
      </c>
      <c r="B927" s="3">
        <v>47252</v>
      </c>
      <c r="C927">
        <v>100.0</v>
      </c>
      <c r="D927">
        <v>3.595205</v>
      </c>
      <c r="E927">
        <v>0.0</v>
      </c>
      <c r="F927">
        <v>3.595205</v>
      </c>
    </row>
    <row r="928" spans="1:6">
      <c r="A928" s="1" t="s">
        <v>253</v>
      </c>
      <c r="B928" s="3">
        <v>47435</v>
      </c>
      <c r="C928">
        <v>100.0</v>
      </c>
      <c r="D928">
        <v>3.654795</v>
      </c>
      <c r="E928">
        <v>0.0</v>
      </c>
      <c r="F928">
        <v>3.654795</v>
      </c>
    </row>
    <row r="929" spans="1:6">
      <c r="A929" s="1" t="s">
        <v>253</v>
      </c>
      <c r="B929" s="3">
        <v>47616</v>
      </c>
      <c r="C929">
        <v>100.0</v>
      </c>
      <c r="D929">
        <v>3.595205</v>
      </c>
      <c r="E929">
        <v>0.0</v>
      </c>
      <c r="F929">
        <v>3.595205</v>
      </c>
    </row>
    <row r="930" spans="1:6">
      <c r="A930" s="1" t="s">
        <v>253</v>
      </c>
      <c r="B930" s="3">
        <v>47800</v>
      </c>
      <c r="C930">
        <v>100.0</v>
      </c>
      <c r="D930">
        <v>3.654795</v>
      </c>
      <c r="E930">
        <v>0.0</v>
      </c>
      <c r="F930">
        <v>3.654795</v>
      </c>
    </row>
    <row r="931" spans="1:6">
      <c r="A931" s="1" t="s">
        <v>253</v>
      </c>
      <c r="B931" s="3">
        <v>47981</v>
      </c>
      <c r="C931">
        <v>100.0</v>
      </c>
      <c r="D931">
        <v>3.595205</v>
      </c>
      <c r="E931">
        <v>0.0</v>
      </c>
      <c r="F931">
        <v>3.595205</v>
      </c>
    </row>
    <row r="932" spans="1:6">
      <c r="A932" s="1" t="s">
        <v>253</v>
      </c>
      <c r="B932" s="3">
        <v>48165</v>
      </c>
      <c r="C932">
        <v>0.0</v>
      </c>
      <c r="D932">
        <v>3.654795</v>
      </c>
      <c r="E932">
        <v>100.0</v>
      </c>
      <c r="F932">
        <v>103.654795</v>
      </c>
    </row>
    <row r="933" spans="1:6">
      <c r="A933" s="1" t="s">
        <v>247</v>
      </c>
      <c r="B933" s="3">
        <v>45880</v>
      </c>
      <c r="C933">
        <v>100.0</v>
      </c>
      <c r="D933">
        <v>3.223288</v>
      </c>
      <c r="E933">
        <v>0.0</v>
      </c>
      <c r="F933">
        <v>3.223288</v>
      </c>
    </row>
    <row r="934" spans="1:6">
      <c r="A934" s="1" t="s">
        <v>247</v>
      </c>
      <c r="B934" s="3">
        <v>46064</v>
      </c>
      <c r="C934">
        <v>100.0</v>
      </c>
      <c r="D934">
        <v>3.276712</v>
      </c>
      <c r="E934">
        <v>0.0</v>
      </c>
      <c r="F934">
        <v>3.276712</v>
      </c>
    </row>
    <row r="935" spans="1:6">
      <c r="A935" s="1" t="s">
        <v>247</v>
      </c>
      <c r="B935" s="3">
        <v>46245</v>
      </c>
      <c r="C935">
        <v>100.0</v>
      </c>
      <c r="D935">
        <v>3.223288</v>
      </c>
      <c r="E935">
        <v>0.0</v>
      </c>
      <c r="F935">
        <v>3.223288</v>
      </c>
    </row>
    <row r="936" spans="1:6">
      <c r="A936" s="1" t="s">
        <v>247</v>
      </c>
      <c r="B936" s="3">
        <v>46429</v>
      </c>
      <c r="C936">
        <v>100.0</v>
      </c>
      <c r="D936">
        <v>3.276712</v>
      </c>
      <c r="E936">
        <v>0.0</v>
      </c>
      <c r="F936">
        <v>3.276712</v>
      </c>
    </row>
    <row r="937" spans="1:6">
      <c r="A937" s="1" t="s">
        <v>247</v>
      </c>
      <c r="B937" s="3">
        <v>46610</v>
      </c>
      <c r="C937">
        <v>0.0</v>
      </c>
      <c r="D937">
        <v>3.223288</v>
      </c>
      <c r="E937">
        <v>100.0</v>
      </c>
      <c r="F937">
        <v>103.223288</v>
      </c>
    </row>
    <row r="938" spans="1:6">
      <c r="A938" s="1" t="s">
        <v>249</v>
      </c>
      <c r="B938" s="3">
        <v>46080</v>
      </c>
      <c r="C938">
        <v>100.0</v>
      </c>
      <c r="D938">
        <v>3.780822</v>
      </c>
      <c r="E938">
        <v>0.0</v>
      </c>
      <c r="F938">
        <v>3.780822</v>
      </c>
    </row>
    <row r="939" spans="1:6">
      <c r="A939" s="1" t="s">
        <v>249</v>
      </c>
      <c r="B939" s="3">
        <v>46261</v>
      </c>
      <c r="C939">
        <v>100.0</v>
      </c>
      <c r="D939">
        <v>3.719178</v>
      </c>
      <c r="E939">
        <v>0.0</v>
      </c>
      <c r="F939">
        <v>3.719178</v>
      </c>
    </row>
    <row r="940" spans="1:6">
      <c r="A940" s="1" t="s">
        <v>249</v>
      </c>
      <c r="B940" s="3">
        <v>46447</v>
      </c>
      <c r="C940">
        <v>100.0</v>
      </c>
      <c r="D940">
        <v>3.780822</v>
      </c>
      <c r="E940">
        <v>0.0</v>
      </c>
      <c r="F940">
        <v>3.780822</v>
      </c>
    </row>
    <row r="941" spans="1:6">
      <c r="A941" s="1" t="s">
        <v>249</v>
      </c>
      <c r="B941" s="3">
        <v>46626</v>
      </c>
      <c r="C941">
        <v>100.0</v>
      </c>
      <c r="D941">
        <v>3.719178</v>
      </c>
      <c r="E941">
        <v>0.0</v>
      </c>
      <c r="F941">
        <v>3.719178</v>
      </c>
    </row>
    <row r="942" spans="1:6">
      <c r="A942" s="1" t="s">
        <v>249</v>
      </c>
      <c r="B942" s="3">
        <v>46813</v>
      </c>
      <c r="C942">
        <v>100.0</v>
      </c>
      <c r="D942">
        <v>3.780822</v>
      </c>
      <c r="E942">
        <v>0.0</v>
      </c>
      <c r="F942">
        <v>3.780822</v>
      </c>
    </row>
    <row r="943" spans="1:6">
      <c r="A943" s="1" t="s">
        <v>249</v>
      </c>
      <c r="B943" s="3">
        <v>46993</v>
      </c>
      <c r="C943">
        <v>100.0</v>
      </c>
      <c r="D943">
        <v>3.739726</v>
      </c>
      <c r="E943">
        <v>0.0</v>
      </c>
      <c r="F943">
        <v>3.739726</v>
      </c>
    </row>
    <row r="944" spans="1:6">
      <c r="A944" s="1" t="s">
        <v>249</v>
      </c>
      <c r="B944" s="3">
        <v>47176</v>
      </c>
      <c r="C944">
        <v>100.0</v>
      </c>
      <c r="D944">
        <v>3.780822</v>
      </c>
      <c r="E944">
        <v>0.0</v>
      </c>
      <c r="F944">
        <v>3.780822</v>
      </c>
    </row>
    <row r="945" spans="1:6">
      <c r="A945" s="1" t="s">
        <v>249</v>
      </c>
      <c r="B945" s="3">
        <v>47357</v>
      </c>
      <c r="C945">
        <v>0.0</v>
      </c>
      <c r="D945">
        <v>3.719178</v>
      </c>
      <c r="E945">
        <v>100.0</v>
      </c>
      <c r="F945">
        <v>103.719178</v>
      </c>
    </row>
    <row r="946" spans="1:6">
      <c r="A946" s="1" t="s">
        <v>204</v>
      </c>
      <c r="B946" s="3">
        <v>46218</v>
      </c>
      <c r="C946">
        <v>100.0</v>
      </c>
      <c r="D946">
        <v>3.875</v>
      </c>
      <c r="E946">
        <v>0.0</v>
      </c>
      <c r="F946">
        <v>3.875</v>
      </c>
    </row>
    <row r="947" spans="1:6">
      <c r="A947" s="1" t="s">
        <v>204</v>
      </c>
      <c r="B947" s="3">
        <v>46402</v>
      </c>
      <c r="C947">
        <v>100.0</v>
      </c>
      <c r="D947">
        <v>3.875</v>
      </c>
      <c r="E947">
        <v>0.0</v>
      </c>
      <c r="F947">
        <v>3.875</v>
      </c>
    </row>
    <row r="948" spans="1:6">
      <c r="A948" s="1" t="s">
        <v>204</v>
      </c>
      <c r="B948" s="3">
        <v>46583</v>
      </c>
      <c r="C948">
        <v>100.0</v>
      </c>
      <c r="D948">
        <v>3.875</v>
      </c>
      <c r="E948">
        <v>0.0</v>
      </c>
      <c r="F948">
        <v>3.875</v>
      </c>
    </row>
    <row r="949" spans="1:6">
      <c r="A949" s="1" t="s">
        <v>204</v>
      </c>
      <c r="B949" s="3">
        <v>46769</v>
      </c>
      <c r="C949">
        <v>100.0</v>
      </c>
      <c r="D949">
        <v>3.875</v>
      </c>
      <c r="E949">
        <v>0.0</v>
      </c>
      <c r="F949">
        <v>3.875</v>
      </c>
    </row>
    <row r="950" spans="1:6">
      <c r="A950" s="1" t="s">
        <v>204</v>
      </c>
      <c r="B950" s="3">
        <v>46951</v>
      </c>
      <c r="C950">
        <v>100.0</v>
      </c>
      <c r="D950">
        <v>3.875</v>
      </c>
      <c r="E950">
        <v>0.0</v>
      </c>
      <c r="F950">
        <v>3.875</v>
      </c>
    </row>
    <row r="951" spans="1:6">
      <c r="A951" s="1" t="s">
        <v>204</v>
      </c>
      <c r="B951" s="3">
        <v>47133</v>
      </c>
      <c r="C951">
        <v>100.0</v>
      </c>
      <c r="D951">
        <v>3.875</v>
      </c>
      <c r="E951">
        <v>0.0</v>
      </c>
      <c r="F951">
        <v>3.875</v>
      </c>
    </row>
    <row r="952" spans="1:6">
      <c r="A952" s="1" t="s">
        <v>204</v>
      </c>
      <c r="B952" s="3">
        <v>47315</v>
      </c>
      <c r="C952">
        <v>100.0</v>
      </c>
      <c r="D952">
        <v>3.875</v>
      </c>
      <c r="E952">
        <v>0.0</v>
      </c>
      <c r="F952">
        <v>3.875</v>
      </c>
    </row>
    <row r="953" spans="1:6">
      <c r="A953" s="1" t="s">
        <v>204</v>
      </c>
      <c r="B953" s="3">
        <v>47498</v>
      </c>
      <c r="C953">
        <v>100.0</v>
      </c>
      <c r="D953">
        <v>3.875</v>
      </c>
      <c r="E953">
        <v>0.0</v>
      </c>
      <c r="F953">
        <v>3.875</v>
      </c>
    </row>
    <row r="954" spans="1:6">
      <c r="A954" s="1" t="s">
        <v>204</v>
      </c>
      <c r="B954" s="3">
        <v>47679</v>
      </c>
      <c r="C954">
        <v>100.0</v>
      </c>
      <c r="D954">
        <v>3.875</v>
      </c>
      <c r="E954">
        <v>0.0</v>
      </c>
      <c r="F954">
        <v>3.875</v>
      </c>
    </row>
    <row r="955" spans="1:6">
      <c r="A955" s="1" t="s">
        <v>204</v>
      </c>
      <c r="B955" s="3">
        <v>47863</v>
      </c>
      <c r="C955">
        <v>100.0</v>
      </c>
      <c r="D955">
        <v>3.875</v>
      </c>
      <c r="E955">
        <v>0.0</v>
      </c>
      <c r="F955">
        <v>3.875</v>
      </c>
    </row>
    <row r="956" spans="1:6">
      <c r="A956" s="1" t="s">
        <v>204</v>
      </c>
      <c r="B956" s="3">
        <v>48044</v>
      </c>
      <c r="C956">
        <v>100.0</v>
      </c>
      <c r="D956">
        <v>3.875</v>
      </c>
      <c r="E956">
        <v>0.0</v>
      </c>
      <c r="F956">
        <v>3.875</v>
      </c>
    </row>
    <row r="957" spans="1:6">
      <c r="A957" s="1" t="s">
        <v>204</v>
      </c>
      <c r="B957" s="3">
        <v>48228</v>
      </c>
      <c r="C957">
        <v>100.0</v>
      </c>
      <c r="D957">
        <v>3.875</v>
      </c>
      <c r="E957">
        <v>0.0</v>
      </c>
      <c r="F957">
        <v>3.875</v>
      </c>
    </row>
    <row r="958" spans="1:6">
      <c r="A958" s="1" t="s">
        <v>204</v>
      </c>
      <c r="B958" s="3">
        <v>48410</v>
      </c>
      <c r="C958">
        <v>100.0</v>
      </c>
      <c r="D958">
        <v>3.875</v>
      </c>
      <c r="E958">
        <v>0.0</v>
      </c>
      <c r="F958">
        <v>3.875</v>
      </c>
    </row>
    <row r="959" spans="1:6">
      <c r="A959" s="1" t="s">
        <v>204</v>
      </c>
      <c r="B959" s="3">
        <v>48596</v>
      </c>
      <c r="C959">
        <v>100.0</v>
      </c>
      <c r="D959">
        <v>3.875</v>
      </c>
      <c r="E959">
        <v>0.0</v>
      </c>
      <c r="F959">
        <v>3.875</v>
      </c>
    </row>
    <row r="960" spans="1:6">
      <c r="A960" s="1" t="s">
        <v>204</v>
      </c>
      <c r="B960" s="3">
        <v>48775</v>
      </c>
      <c r="C960">
        <v>100.0</v>
      </c>
      <c r="D960">
        <v>3.875</v>
      </c>
      <c r="E960">
        <v>0.0</v>
      </c>
      <c r="F960">
        <v>3.875</v>
      </c>
    </row>
    <row r="961" spans="1:6">
      <c r="A961" s="1" t="s">
        <v>204</v>
      </c>
      <c r="B961" s="3">
        <v>48960</v>
      </c>
      <c r="C961">
        <v>100.0</v>
      </c>
      <c r="D961">
        <v>3.875</v>
      </c>
      <c r="E961">
        <v>0.0</v>
      </c>
      <c r="F961">
        <v>3.875</v>
      </c>
    </row>
    <row r="962" spans="1:6">
      <c r="A962" s="1" t="s">
        <v>204</v>
      </c>
      <c r="B962" s="3">
        <v>49142</v>
      </c>
      <c r="C962">
        <v>100.0</v>
      </c>
      <c r="D962">
        <v>3.875</v>
      </c>
      <c r="E962">
        <v>0.0</v>
      </c>
      <c r="F962">
        <v>3.875</v>
      </c>
    </row>
    <row r="963" spans="1:6">
      <c r="A963" s="1" t="s">
        <v>204</v>
      </c>
      <c r="B963" s="3">
        <v>49324</v>
      </c>
      <c r="C963">
        <v>67.0</v>
      </c>
      <c r="D963">
        <v>3.875</v>
      </c>
      <c r="E963">
        <v>33.0</v>
      </c>
      <c r="F963">
        <v>36.875</v>
      </c>
    </row>
    <row r="964" spans="1:6">
      <c r="A964" s="1" t="s">
        <v>204</v>
      </c>
      <c r="B964" s="3">
        <v>49506</v>
      </c>
      <c r="C964">
        <v>67.0</v>
      </c>
      <c r="D964">
        <v>2.59625</v>
      </c>
      <c r="E964">
        <v>0.0</v>
      </c>
      <c r="F964">
        <v>2.59625</v>
      </c>
    </row>
    <row r="965" spans="1:6">
      <c r="A965" s="1" t="s">
        <v>204</v>
      </c>
      <c r="B965" s="3">
        <v>49689</v>
      </c>
      <c r="C965">
        <v>34.0</v>
      </c>
      <c r="D965">
        <v>2.59625</v>
      </c>
      <c r="E965">
        <v>33.0</v>
      </c>
      <c r="F965">
        <v>35.59625</v>
      </c>
    </row>
    <row r="966" spans="1:6">
      <c r="A966" s="1" t="s">
        <v>204</v>
      </c>
      <c r="B966" s="3">
        <v>49871</v>
      </c>
      <c r="C966">
        <v>34.0</v>
      </c>
      <c r="D966">
        <v>1.3175</v>
      </c>
      <c r="E966">
        <v>0.0</v>
      </c>
      <c r="F966">
        <v>1.3175</v>
      </c>
    </row>
    <row r="967" spans="1:6">
      <c r="A967" s="1" t="s">
        <v>204</v>
      </c>
      <c r="B967" s="3">
        <v>50055</v>
      </c>
      <c r="C967">
        <v>0.0</v>
      </c>
      <c r="D967">
        <v>1.3175</v>
      </c>
      <c r="E967">
        <v>34.0</v>
      </c>
      <c r="F967">
        <v>35.3175</v>
      </c>
    </row>
    <row r="968" spans="1:6">
      <c r="A968" s="1" t="s">
        <v>87</v>
      </c>
      <c r="B968" s="3">
        <v>45705</v>
      </c>
      <c r="C968">
        <v>100.0</v>
      </c>
      <c r="D968">
        <v>0.0</v>
      </c>
      <c r="E968">
        <v>0.0</v>
      </c>
      <c r="F968">
        <v>0.0</v>
      </c>
    </row>
    <row r="969" spans="1:6">
      <c r="A969" s="1" t="s">
        <v>87</v>
      </c>
      <c r="B969" s="3">
        <v>45886</v>
      </c>
      <c r="C969">
        <v>100.0</v>
      </c>
      <c r="D969">
        <v>3.967123</v>
      </c>
      <c r="E969">
        <v>0.0</v>
      </c>
      <c r="F969">
        <v>3.967123</v>
      </c>
    </row>
    <row r="970" spans="1:6">
      <c r="A970" s="1" t="s">
        <v>87</v>
      </c>
      <c r="B970" s="3">
        <v>46070</v>
      </c>
      <c r="C970">
        <v>100.0</v>
      </c>
      <c r="D970">
        <v>4.032877</v>
      </c>
      <c r="E970">
        <v>0.0</v>
      </c>
      <c r="F970">
        <v>4.032877</v>
      </c>
    </row>
    <row r="971" spans="1:6">
      <c r="A971" s="1" t="s">
        <v>87</v>
      </c>
      <c r="B971" s="3">
        <v>46251</v>
      </c>
      <c r="C971">
        <v>100.0</v>
      </c>
      <c r="D971">
        <v>3.967123</v>
      </c>
      <c r="E971">
        <v>0.0</v>
      </c>
      <c r="F971">
        <v>3.967123</v>
      </c>
    </row>
    <row r="972" spans="1:6">
      <c r="A972" s="1" t="s">
        <v>87</v>
      </c>
      <c r="B972" s="3">
        <v>46435</v>
      </c>
      <c r="C972">
        <v>100.0</v>
      </c>
      <c r="D972">
        <v>4.032877</v>
      </c>
      <c r="E972">
        <v>0.0</v>
      </c>
      <c r="F972">
        <v>4.032877</v>
      </c>
    </row>
    <row r="973" spans="1:6">
      <c r="A973" s="1" t="s">
        <v>87</v>
      </c>
      <c r="B973" s="3">
        <v>46616</v>
      </c>
      <c r="C973">
        <v>100.0</v>
      </c>
      <c r="D973">
        <v>3.967123</v>
      </c>
      <c r="E973">
        <v>0.0</v>
      </c>
      <c r="F973">
        <v>3.967123</v>
      </c>
    </row>
    <row r="974" spans="1:6">
      <c r="A974" s="1" t="s">
        <v>87</v>
      </c>
      <c r="B974" s="3">
        <v>46800</v>
      </c>
      <c r="C974">
        <v>100.0</v>
      </c>
      <c r="D974">
        <v>4.032877</v>
      </c>
      <c r="E974">
        <v>0.0</v>
      </c>
      <c r="F974">
        <v>4.032877</v>
      </c>
    </row>
    <row r="975" spans="1:6">
      <c r="A975" s="1" t="s">
        <v>87</v>
      </c>
      <c r="B975" s="3">
        <v>46982</v>
      </c>
      <c r="C975">
        <v>100.0</v>
      </c>
      <c r="D975">
        <v>3.989041</v>
      </c>
      <c r="E975">
        <v>0.0</v>
      </c>
      <c r="F975">
        <v>3.989041</v>
      </c>
    </row>
    <row r="976" spans="1:6">
      <c r="A976" s="1" t="s">
        <v>87</v>
      </c>
      <c r="B976" s="3">
        <v>47166</v>
      </c>
      <c r="C976">
        <v>100.0</v>
      </c>
      <c r="D976">
        <v>4.032877</v>
      </c>
      <c r="E976">
        <v>0.0</v>
      </c>
      <c r="F976">
        <v>4.032877</v>
      </c>
    </row>
    <row r="977" spans="1:6">
      <c r="A977" s="1" t="s">
        <v>87</v>
      </c>
      <c r="B977" s="3">
        <v>47347</v>
      </c>
      <c r="C977">
        <v>100.0</v>
      </c>
      <c r="D977">
        <v>3.967123</v>
      </c>
      <c r="E977">
        <v>0.0</v>
      </c>
      <c r="F977">
        <v>3.967123</v>
      </c>
    </row>
    <row r="978" spans="1:6">
      <c r="A978" s="1" t="s">
        <v>87</v>
      </c>
      <c r="B978" s="3">
        <v>47531</v>
      </c>
      <c r="C978">
        <v>100.0</v>
      </c>
      <c r="D978">
        <v>4.032877</v>
      </c>
      <c r="E978">
        <v>0.0</v>
      </c>
      <c r="F978">
        <v>4.032877</v>
      </c>
    </row>
    <row r="979" spans="1:6">
      <c r="A979" s="1" t="s">
        <v>87</v>
      </c>
      <c r="B979" s="3">
        <v>47712</v>
      </c>
      <c r="C979">
        <v>100.0</v>
      </c>
      <c r="D979">
        <v>3.967123</v>
      </c>
      <c r="E979">
        <v>0.0</v>
      </c>
      <c r="F979">
        <v>3.967123</v>
      </c>
    </row>
    <row r="980" spans="1:6">
      <c r="A980" s="1" t="s">
        <v>87</v>
      </c>
      <c r="B980" s="3">
        <v>47896</v>
      </c>
      <c r="C980">
        <v>0.0</v>
      </c>
      <c r="D980">
        <v>4.032877</v>
      </c>
      <c r="E980">
        <v>100.0</v>
      </c>
      <c r="F980">
        <v>104.032877</v>
      </c>
    </row>
    <row r="981" spans="1:6">
      <c r="A981" s="1" t="s">
        <v>118</v>
      </c>
      <c r="B981" s="3">
        <v>46232</v>
      </c>
      <c r="C981">
        <v>100.0</v>
      </c>
      <c r="D981">
        <v>2.3625</v>
      </c>
      <c r="E981">
        <v>0.0</v>
      </c>
      <c r="F981">
        <v>2.3625</v>
      </c>
    </row>
    <row r="982" spans="1:6">
      <c r="A982" s="1" t="s">
        <v>118</v>
      </c>
      <c r="B982" s="3">
        <v>46324</v>
      </c>
      <c r="C982">
        <v>100.0</v>
      </c>
      <c r="D982">
        <v>2.3625</v>
      </c>
      <c r="E982">
        <v>0.0</v>
      </c>
      <c r="F982">
        <v>2.3625</v>
      </c>
    </row>
    <row r="983" spans="1:6">
      <c r="A983" s="1" t="s">
        <v>118</v>
      </c>
      <c r="B983" s="3">
        <v>46416</v>
      </c>
      <c r="C983">
        <v>100.0</v>
      </c>
      <c r="D983">
        <v>2.3625</v>
      </c>
      <c r="E983">
        <v>0.0</v>
      </c>
      <c r="F983">
        <v>2.3625</v>
      </c>
    </row>
    <row r="984" spans="1:6">
      <c r="A984" s="1" t="s">
        <v>118</v>
      </c>
      <c r="B984" s="3">
        <v>46506</v>
      </c>
      <c r="C984">
        <v>100.0</v>
      </c>
      <c r="D984">
        <v>2.3625</v>
      </c>
      <c r="E984">
        <v>0.0</v>
      </c>
      <c r="F984">
        <v>2.3625</v>
      </c>
    </row>
    <row r="985" spans="1:6">
      <c r="A985" s="1" t="s">
        <v>118</v>
      </c>
      <c r="B985" s="3">
        <v>46597</v>
      </c>
      <c r="C985">
        <v>100.0</v>
      </c>
      <c r="D985">
        <v>2.3625</v>
      </c>
      <c r="E985">
        <v>0.0</v>
      </c>
      <c r="F985">
        <v>2.3625</v>
      </c>
    </row>
    <row r="986" spans="1:6">
      <c r="A986" s="1" t="s">
        <v>118</v>
      </c>
      <c r="B986" s="3">
        <v>46689</v>
      </c>
      <c r="C986">
        <v>100.0</v>
      </c>
      <c r="D986">
        <v>2.3625</v>
      </c>
      <c r="E986">
        <v>0.0</v>
      </c>
      <c r="F986">
        <v>2.3625</v>
      </c>
    </row>
    <row r="987" spans="1:6">
      <c r="A987" s="1" t="s">
        <v>118</v>
      </c>
      <c r="B987" s="3">
        <v>46783</v>
      </c>
      <c r="C987">
        <v>100.0</v>
      </c>
      <c r="D987">
        <v>2.3625</v>
      </c>
      <c r="E987">
        <v>0.0</v>
      </c>
      <c r="F987">
        <v>2.3625</v>
      </c>
    </row>
    <row r="988" spans="1:6">
      <c r="A988" s="1" t="s">
        <v>118</v>
      </c>
      <c r="B988" s="3">
        <v>46875</v>
      </c>
      <c r="C988">
        <v>100.0</v>
      </c>
      <c r="D988">
        <v>2.3625</v>
      </c>
      <c r="E988">
        <v>0.0</v>
      </c>
      <c r="F988">
        <v>2.3625</v>
      </c>
    </row>
    <row r="989" spans="1:6">
      <c r="A989" s="1" t="s">
        <v>118</v>
      </c>
      <c r="B989" s="3">
        <v>46965</v>
      </c>
      <c r="C989">
        <v>100.0</v>
      </c>
      <c r="D989">
        <v>2.3625</v>
      </c>
      <c r="E989">
        <v>0.0</v>
      </c>
      <c r="F989">
        <v>2.3625</v>
      </c>
    </row>
    <row r="990" spans="1:6">
      <c r="A990" s="1" t="s">
        <v>118</v>
      </c>
      <c r="B990" s="3">
        <v>47056</v>
      </c>
      <c r="C990">
        <v>100.0</v>
      </c>
      <c r="D990">
        <v>2.3625</v>
      </c>
      <c r="E990">
        <v>0.0</v>
      </c>
      <c r="F990">
        <v>2.3625</v>
      </c>
    </row>
    <row r="991" spans="1:6">
      <c r="A991" s="1" t="s">
        <v>118</v>
      </c>
      <c r="B991" s="3">
        <v>47147</v>
      </c>
      <c r="C991">
        <v>100.0</v>
      </c>
      <c r="D991">
        <v>2.3625</v>
      </c>
      <c r="E991">
        <v>0.0</v>
      </c>
      <c r="F991">
        <v>2.3625</v>
      </c>
    </row>
    <row r="992" spans="1:6">
      <c r="A992" s="1" t="s">
        <v>118</v>
      </c>
      <c r="B992" s="3">
        <v>47238</v>
      </c>
      <c r="C992">
        <v>100.0</v>
      </c>
      <c r="D992">
        <v>2.3625</v>
      </c>
      <c r="E992">
        <v>0.0</v>
      </c>
      <c r="F992">
        <v>2.3625</v>
      </c>
    </row>
    <row r="993" spans="1:6">
      <c r="A993" s="1" t="s">
        <v>118</v>
      </c>
      <c r="B993" s="3">
        <v>47329</v>
      </c>
      <c r="C993">
        <v>96.4286</v>
      </c>
      <c r="D993">
        <v>2.3625</v>
      </c>
      <c r="E993">
        <v>3.5714</v>
      </c>
      <c r="F993">
        <v>5.9339</v>
      </c>
    </row>
    <row r="994" spans="1:6">
      <c r="A994" s="1" t="s">
        <v>118</v>
      </c>
      <c r="B994" s="3">
        <v>47420</v>
      </c>
      <c r="C994">
        <v>92.8572</v>
      </c>
      <c r="D994">
        <v>2.278126</v>
      </c>
      <c r="E994">
        <v>3.5714</v>
      </c>
      <c r="F994">
        <v>5.849526</v>
      </c>
    </row>
    <row r="995" spans="1:6">
      <c r="A995" s="1" t="s">
        <v>118</v>
      </c>
      <c r="B995" s="3">
        <v>47512</v>
      </c>
      <c r="C995">
        <v>89.2858</v>
      </c>
      <c r="D995">
        <v>2.193751</v>
      </c>
      <c r="E995">
        <v>3.5714</v>
      </c>
      <c r="F995">
        <v>5.765151</v>
      </c>
    </row>
    <row r="996" spans="1:6">
      <c r="A996" s="1" t="s">
        <v>118</v>
      </c>
      <c r="B996" s="3">
        <v>47602</v>
      </c>
      <c r="C996">
        <v>85.7144</v>
      </c>
      <c r="D996">
        <v>2.109377</v>
      </c>
      <c r="E996">
        <v>3.5714</v>
      </c>
      <c r="F996">
        <v>5.680777</v>
      </c>
    </row>
    <row r="997" spans="1:6">
      <c r="A997" s="1" t="s">
        <v>118</v>
      </c>
      <c r="B997" s="3">
        <v>47693</v>
      </c>
      <c r="C997">
        <v>82.143</v>
      </c>
      <c r="D997">
        <v>2.025003</v>
      </c>
      <c r="E997">
        <v>3.5714</v>
      </c>
      <c r="F997">
        <v>5.596403</v>
      </c>
    </row>
    <row r="998" spans="1:6">
      <c r="A998" s="1" t="s">
        <v>118</v>
      </c>
      <c r="B998" s="3">
        <v>47785</v>
      </c>
      <c r="C998">
        <v>78.5716</v>
      </c>
      <c r="D998">
        <v>1.940628</v>
      </c>
      <c r="E998">
        <v>3.5714</v>
      </c>
      <c r="F998">
        <v>5.512028</v>
      </c>
    </row>
    <row r="999" spans="1:6">
      <c r="A999" s="1" t="s">
        <v>118</v>
      </c>
      <c r="B999" s="3">
        <v>47877</v>
      </c>
      <c r="C999">
        <v>75.0002</v>
      </c>
      <c r="D999">
        <v>1.856254</v>
      </c>
      <c r="E999">
        <v>3.5714</v>
      </c>
      <c r="F999">
        <v>5.427654</v>
      </c>
    </row>
    <row r="1000" spans="1:6">
      <c r="A1000" s="1" t="s">
        <v>118</v>
      </c>
      <c r="B1000" s="3">
        <v>47967</v>
      </c>
      <c r="C1000">
        <v>71.4288</v>
      </c>
      <c r="D1000">
        <v>1.77188</v>
      </c>
      <c r="E1000">
        <v>3.5714</v>
      </c>
      <c r="F1000">
        <v>5.34328</v>
      </c>
    </row>
    <row r="1001" spans="1:6">
      <c r="A1001" s="1" t="s">
        <v>118</v>
      </c>
      <c r="B1001" s="3">
        <v>48058</v>
      </c>
      <c r="C1001">
        <v>67.8574</v>
      </c>
      <c r="D1001">
        <v>1.687505</v>
      </c>
      <c r="E1001">
        <v>3.5714</v>
      </c>
      <c r="F1001">
        <v>5.258905</v>
      </c>
    </row>
    <row r="1002" spans="1:6">
      <c r="A1002" s="1" t="s">
        <v>118</v>
      </c>
      <c r="B1002" s="3">
        <v>48150</v>
      </c>
      <c r="C1002">
        <v>64.286</v>
      </c>
      <c r="D1002">
        <v>1.603131</v>
      </c>
      <c r="E1002">
        <v>3.5714</v>
      </c>
      <c r="F1002">
        <v>5.174531</v>
      </c>
    </row>
    <row r="1003" spans="1:6">
      <c r="A1003" s="1" t="s">
        <v>118</v>
      </c>
      <c r="B1003" s="3">
        <v>48242</v>
      </c>
      <c r="C1003">
        <v>60.7146</v>
      </c>
      <c r="D1003">
        <v>1.518757</v>
      </c>
      <c r="E1003">
        <v>3.5714</v>
      </c>
      <c r="F1003">
        <v>5.090157</v>
      </c>
    </row>
    <row r="1004" spans="1:6">
      <c r="A1004" s="1" t="s">
        <v>118</v>
      </c>
      <c r="B1004" s="3">
        <v>48333</v>
      </c>
      <c r="C1004">
        <v>57.1432</v>
      </c>
      <c r="D1004">
        <v>1.434382</v>
      </c>
      <c r="E1004">
        <v>3.5714</v>
      </c>
      <c r="F1004">
        <v>5.005782</v>
      </c>
    </row>
    <row r="1005" spans="1:6">
      <c r="A1005" s="1" t="s">
        <v>118</v>
      </c>
      <c r="B1005" s="3">
        <v>48424</v>
      </c>
      <c r="C1005">
        <v>53.5718</v>
      </c>
      <c r="D1005">
        <v>1.350008</v>
      </c>
      <c r="E1005">
        <v>3.5714</v>
      </c>
      <c r="F1005">
        <v>4.921408</v>
      </c>
    </row>
    <row r="1006" spans="1:6">
      <c r="A1006" s="1" t="s">
        <v>118</v>
      </c>
      <c r="B1006" s="3">
        <v>48516</v>
      </c>
      <c r="C1006">
        <v>50.0004</v>
      </c>
      <c r="D1006">
        <v>1.265634</v>
      </c>
      <c r="E1006">
        <v>3.5714</v>
      </c>
      <c r="F1006">
        <v>4.837034</v>
      </c>
    </row>
    <row r="1007" spans="1:6">
      <c r="A1007" s="1" t="s">
        <v>118</v>
      </c>
      <c r="B1007" s="3">
        <v>48610</v>
      </c>
      <c r="C1007">
        <v>46.429</v>
      </c>
      <c r="D1007">
        <v>1.181259</v>
      </c>
      <c r="E1007">
        <v>3.5714</v>
      </c>
      <c r="F1007">
        <v>4.752659</v>
      </c>
    </row>
    <row r="1008" spans="1:6">
      <c r="A1008" s="1" t="s">
        <v>118</v>
      </c>
      <c r="B1008" s="3">
        <v>48698</v>
      </c>
      <c r="C1008">
        <v>42.8576</v>
      </c>
      <c r="D1008">
        <v>1.096885</v>
      </c>
      <c r="E1008">
        <v>3.5714</v>
      </c>
      <c r="F1008">
        <v>4.668285</v>
      </c>
    </row>
    <row r="1009" spans="1:6">
      <c r="A1009" s="1" t="s">
        <v>118</v>
      </c>
      <c r="B1009" s="3">
        <v>48789</v>
      </c>
      <c r="C1009">
        <v>39.2862</v>
      </c>
      <c r="D1009">
        <v>1.012511</v>
      </c>
      <c r="E1009">
        <v>3.5714</v>
      </c>
      <c r="F1009">
        <v>4.583911</v>
      </c>
    </row>
    <row r="1010" spans="1:6">
      <c r="A1010" s="1" t="s">
        <v>118</v>
      </c>
      <c r="B1010" s="3">
        <v>48883</v>
      </c>
      <c r="C1010">
        <v>35.7148</v>
      </c>
      <c r="D1010">
        <v>0.928136</v>
      </c>
      <c r="E1010">
        <v>3.5714</v>
      </c>
      <c r="F1010">
        <v>4.499536</v>
      </c>
    </row>
    <row r="1011" spans="1:6">
      <c r="A1011" s="1" t="s">
        <v>118</v>
      </c>
      <c r="B1011" s="3">
        <v>48974</v>
      </c>
      <c r="C1011">
        <v>32.1434</v>
      </c>
      <c r="D1011">
        <v>0.843762</v>
      </c>
      <c r="E1011">
        <v>3.5714</v>
      </c>
      <c r="F1011">
        <v>4.415162</v>
      </c>
    </row>
    <row r="1012" spans="1:6">
      <c r="A1012" s="1" t="s">
        <v>118</v>
      </c>
      <c r="B1012" s="3">
        <v>49066</v>
      </c>
      <c r="C1012">
        <v>28.572</v>
      </c>
      <c r="D1012">
        <v>0.759388</v>
      </c>
      <c r="E1012">
        <v>3.5714</v>
      </c>
      <c r="F1012">
        <v>4.330788</v>
      </c>
    </row>
    <row r="1013" spans="1:6">
      <c r="A1013" s="1" t="s">
        <v>118</v>
      </c>
      <c r="B1013" s="3">
        <v>49156</v>
      </c>
      <c r="C1013">
        <v>25.0006</v>
      </c>
      <c r="D1013">
        <v>0.675013</v>
      </c>
      <c r="E1013">
        <v>3.5714</v>
      </c>
      <c r="F1013">
        <v>4.246414</v>
      </c>
    </row>
    <row r="1014" spans="1:6">
      <c r="A1014" s="1" t="s">
        <v>118</v>
      </c>
      <c r="B1014" s="3">
        <v>49247</v>
      </c>
      <c r="C1014">
        <v>21.4292</v>
      </c>
      <c r="D1014">
        <v>0.590639</v>
      </c>
      <c r="E1014">
        <v>3.5714</v>
      </c>
      <c r="F1014">
        <v>4.162039</v>
      </c>
    </row>
    <row r="1015" spans="1:6">
      <c r="A1015" s="1" t="s">
        <v>118</v>
      </c>
      <c r="B1015" s="3">
        <v>49338</v>
      </c>
      <c r="C1015">
        <v>17.8578</v>
      </c>
      <c r="D1015">
        <v>0.506265</v>
      </c>
      <c r="E1015">
        <v>3.5714</v>
      </c>
      <c r="F1015">
        <v>4.077665</v>
      </c>
    </row>
    <row r="1016" spans="1:6">
      <c r="A1016" s="1" t="s">
        <v>118</v>
      </c>
      <c r="B1016" s="3">
        <v>49429</v>
      </c>
      <c r="C1016">
        <v>14.2864</v>
      </c>
      <c r="D1016">
        <v>0.421891</v>
      </c>
      <c r="E1016">
        <v>3.5714</v>
      </c>
      <c r="F1016">
        <v>3.993291</v>
      </c>
    </row>
    <row r="1017" spans="1:6">
      <c r="A1017" s="1" t="s">
        <v>118</v>
      </c>
      <c r="B1017" s="3">
        <v>49520</v>
      </c>
      <c r="C1017">
        <v>10.715</v>
      </c>
      <c r="D1017">
        <v>0.337516</v>
      </c>
      <c r="E1017">
        <v>3.5714</v>
      </c>
      <c r="F1017">
        <v>3.908916</v>
      </c>
    </row>
    <row r="1018" spans="1:6">
      <c r="A1018" s="1" t="s">
        <v>118</v>
      </c>
      <c r="B1018" s="3">
        <v>49611</v>
      </c>
      <c r="C1018">
        <v>7.1436</v>
      </c>
      <c r="D1018">
        <v>0.253142</v>
      </c>
      <c r="E1018">
        <v>3.5714</v>
      </c>
      <c r="F1018">
        <v>3.824542</v>
      </c>
    </row>
    <row r="1019" spans="1:6">
      <c r="A1019" s="1" t="s">
        <v>118</v>
      </c>
      <c r="B1019" s="3">
        <v>49703</v>
      </c>
      <c r="C1019">
        <v>3.5722</v>
      </c>
      <c r="D1019">
        <v>0.168768</v>
      </c>
      <c r="E1019">
        <v>3.5714</v>
      </c>
      <c r="F1019">
        <v>3.740168</v>
      </c>
    </row>
    <row r="1020" spans="1:6">
      <c r="A1020" s="1" t="s">
        <v>118</v>
      </c>
      <c r="B1020" s="3">
        <v>49794</v>
      </c>
      <c r="C1020">
        <v>0.0</v>
      </c>
      <c r="D1020">
        <v>0.084393</v>
      </c>
      <c r="E1020">
        <v>3.5722</v>
      </c>
      <c r="F1020">
        <v>3.656593</v>
      </c>
    </row>
    <row r="1021" spans="1:6">
      <c r="A1021" s="1" t="s">
        <v>154</v>
      </c>
      <c r="B1021" s="3">
        <v>42669</v>
      </c>
      <c r="C1021">
        <v>100.0</v>
      </c>
      <c r="D1021">
        <v>1.9375</v>
      </c>
      <c r="E1021">
        <v>0.0</v>
      </c>
      <c r="F1021">
        <v>1.9375</v>
      </c>
    </row>
    <row r="1022" spans="1:6">
      <c r="A1022" s="1" t="s">
        <v>154</v>
      </c>
      <c r="B1022" s="3">
        <v>42761</v>
      </c>
      <c r="C1022">
        <v>100.0</v>
      </c>
      <c r="D1022">
        <v>1.9375</v>
      </c>
      <c r="E1022">
        <v>0.0</v>
      </c>
      <c r="F1022">
        <v>1.9375</v>
      </c>
    </row>
    <row r="1023" spans="1:6">
      <c r="A1023" s="1" t="s">
        <v>154</v>
      </c>
      <c r="B1023" s="3">
        <v>42851</v>
      </c>
      <c r="C1023">
        <v>100.0</v>
      </c>
      <c r="D1023">
        <v>1.9375</v>
      </c>
      <c r="E1023">
        <v>0.0</v>
      </c>
      <c r="F1023">
        <v>1.9375</v>
      </c>
    </row>
    <row r="1024" spans="1:6">
      <c r="A1024" s="1" t="s">
        <v>154</v>
      </c>
      <c r="B1024" s="3">
        <v>42942</v>
      </c>
      <c r="C1024">
        <v>100.0</v>
      </c>
      <c r="D1024">
        <v>1.9375</v>
      </c>
      <c r="E1024">
        <v>0.0</v>
      </c>
      <c r="F1024">
        <v>1.9375</v>
      </c>
    </row>
    <row r="1025" spans="1:6">
      <c r="A1025" s="1" t="s">
        <v>154</v>
      </c>
      <c r="B1025" s="3">
        <v>43034</v>
      </c>
      <c r="C1025">
        <v>100.0</v>
      </c>
      <c r="D1025">
        <v>1.9375</v>
      </c>
      <c r="E1025">
        <v>0.0</v>
      </c>
      <c r="F1025">
        <v>1.9375</v>
      </c>
    </row>
    <row r="1026" spans="1:6">
      <c r="A1026" s="1" t="s">
        <v>154</v>
      </c>
      <c r="B1026" s="3">
        <v>43126</v>
      </c>
      <c r="C1026">
        <v>100.0</v>
      </c>
      <c r="D1026">
        <v>1.9375</v>
      </c>
      <c r="E1026">
        <v>0.0</v>
      </c>
      <c r="F1026">
        <v>1.9375</v>
      </c>
    </row>
    <row r="1027" spans="1:6">
      <c r="A1027" s="1" t="s">
        <v>154</v>
      </c>
      <c r="B1027" s="3">
        <v>43216</v>
      </c>
      <c r="C1027">
        <v>100.0</v>
      </c>
      <c r="D1027">
        <v>1.9375</v>
      </c>
      <c r="E1027">
        <v>0.0</v>
      </c>
      <c r="F1027">
        <v>1.9375</v>
      </c>
    </row>
    <row r="1028" spans="1:6">
      <c r="A1028" s="1" t="s">
        <v>154</v>
      </c>
      <c r="B1028" s="3">
        <v>43307</v>
      </c>
      <c r="C1028">
        <v>100.0</v>
      </c>
      <c r="D1028">
        <v>1.9375</v>
      </c>
      <c r="E1028">
        <v>0.0</v>
      </c>
      <c r="F1028">
        <v>1.9375</v>
      </c>
    </row>
    <row r="1029" spans="1:6">
      <c r="A1029" s="1" t="s">
        <v>154</v>
      </c>
      <c r="B1029" s="3">
        <v>43399</v>
      </c>
      <c r="C1029">
        <v>100.0</v>
      </c>
      <c r="D1029">
        <v>1.9375</v>
      </c>
      <c r="E1029">
        <v>0.0</v>
      </c>
      <c r="F1029">
        <v>1.9375</v>
      </c>
    </row>
    <row r="1030" spans="1:6">
      <c r="A1030" s="1" t="s">
        <v>154</v>
      </c>
      <c r="B1030" s="3">
        <v>43493</v>
      </c>
      <c r="C1030">
        <v>100.0</v>
      </c>
      <c r="D1030">
        <v>1.9375</v>
      </c>
      <c r="E1030">
        <v>0.0</v>
      </c>
      <c r="F1030">
        <v>1.9375</v>
      </c>
    </row>
    <row r="1031" spans="1:6">
      <c r="A1031" s="1" t="s">
        <v>154</v>
      </c>
      <c r="B1031" s="3">
        <v>43581</v>
      </c>
      <c r="C1031">
        <v>100.0</v>
      </c>
      <c r="D1031">
        <v>1.9375</v>
      </c>
      <c r="E1031">
        <v>0.0</v>
      </c>
      <c r="F1031">
        <v>1.9375</v>
      </c>
    </row>
    <row r="1032" spans="1:6">
      <c r="A1032" s="1" t="s">
        <v>154</v>
      </c>
      <c r="B1032" s="3">
        <v>43672</v>
      </c>
      <c r="C1032">
        <v>100.0</v>
      </c>
      <c r="D1032">
        <v>1.9375</v>
      </c>
      <c r="E1032">
        <v>0.0</v>
      </c>
      <c r="F1032">
        <v>1.9375</v>
      </c>
    </row>
    <row r="1033" spans="1:6">
      <c r="A1033" s="1" t="s">
        <v>154</v>
      </c>
      <c r="B1033" s="3">
        <v>43766</v>
      </c>
      <c r="C1033">
        <v>100.0</v>
      </c>
      <c r="D1033">
        <v>1.9375</v>
      </c>
      <c r="E1033">
        <v>0.0</v>
      </c>
      <c r="F1033">
        <v>1.9375</v>
      </c>
    </row>
    <row r="1034" spans="1:6">
      <c r="A1034" s="1" t="s">
        <v>154</v>
      </c>
      <c r="B1034" s="3">
        <v>43857</v>
      </c>
      <c r="C1034">
        <v>100.0</v>
      </c>
      <c r="D1034">
        <v>1.9375</v>
      </c>
      <c r="E1034">
        <v>0.0</v>
      </c>
      <c r="F1034">
        <v>1.9375</v>
      </c>
    </row>
    <row r="1035" spans="1:6">
      <c r="A1035" s="1" t="s">
        <v>154</v>
      </c>
      <c r="B1035" s="3">
        <v>43948</v>
      </c>
      <c r="C1035">
        <v>100.0</v>
      </c>
      <c r="D1035">
        <v>1.9375</v>
      </c>
      <c r="E1035">
        <v>0.0</v>
      </c>
      <c r="F1035">
        <v>1.9375</v>
      </c>
    </row>
    <row r="1036" spans="1:6">
      <c r="A1036" s="1" t="s">
        <v>154</v>
      </c>
      <c r="B1036" s="3">
        <v>44039</v>
      </c>
      <c r="C1036">
        <v>100.0</v>
      </c>
      <c r="D1036">
        <v>1.9375</v>
      </c>
      <c r="E1036">
        <v>0.0</v>
      </c>
      <c r="F1036">
        <v>1.9375</v>
      </c>
    </row>
    <row r="1037" spans="1:6">
      <c r="A1037" s="1" t="s">
        <v>154</v>
      </c>
      <c r="B1037" s="3">
        <v>44130</v>
      </c>
      <c r="C1037">
        <v>95.8333</v>
      </c>
      <c r="D1037">
        <v>1.9375</v>
      </c>
      <c r="E1037">
        <v>4.16667</v>
      </c>
      <c r="F1037">
        <v>6.10417</v>
      </c>
    </row>
    <row r="1038" spans="1:6">
      <c r="A1038" s="1" t="s">
        <v>154</v>
      </c>
      <c r="B1038" s="3">
        <v>44222</v>
      </c>
      <c r="C1038">
        <v>95.3333</v>
      </c>
      <c r="D1038">
        <v>1.734583</v>
      </c>
      <c r="E1038">
        <v>0.5</v>
      </c>
      <c r="F1038">
        <v>2.234583</v>
      </c>
    </row>
    <row r="1039" spans="1:6">
      <c r="A1039" s="1" t="s">
        <v>154</v>
      </c>
      <c r="B1039" s="3">
        <v>44312</v>
      </c>
      <c r="C1039">
        <v>94.8333</v>
      </c>
      <c r="D1039">
        <v>1.725533</v>
      </c>
      <c r="E1039">
        <v>0.5</v>
      </c>
      <c r="F1039">
        <v>2.225533</v>
      </c>
    </row>
    <row r="1040" spans="1:6">
      <c r="A1040" s="1" t="s">
        <v>154</v>
      </c>
      <c r="B1040" s="3">
        <v>44403</v>
      </c>
      <c r="C1040">
        <v>94.3333</v>
      </c>
      <c r="D1040">
        <v>1.716483</v>
      </c>
      <c r="E1040">
        <v>0.5</v>
      </c>
      <c r="F1040">
        <v>2.216483</v>
      </c>
    </row>
    <row r="1041" spans="1:6">
      <c r="A1041" s="1" t="s">
        <v>154</v>
      </c>
      <c r="B1041" s="3">
        <v>44495</v>
      </c>
      <c r="C1041">
        <v>93.8333</v>
      </c>
      <c r="D1041">
        <v>1.707433</v>
      </c>
      <c r="E1041">
        <v>0.5</v>
      </c>
      <c r="F1041">
        <v>2.207433</v>
      </c>
    </row>
    <row r="1042" spans="1:6">
      <c r="A1042" s="1" t="s">
        <v>154</v>
      </c>
      <c r="B1042" s="3">
        <v>44587</v>
      </c>
      <c r="C1042">
        <v>92.3083</v>
      </c>
      <c r="D1042">
        <v>1.818021</v>
      </c>
      <c r="E1042">
        <v>1.525</v>
      </c>
      <c r="F1042">
        <v>3.343021</v>
      </c>
    </row>
    <row r="1043" spans="1:6">
      <c r="A1043" s="1" t="s">
        <v>154</v>
      </c>
      <c r="B1043" s="3">
        <v>44677</v>
      </c>
      <c r="C1043">
        <v>90.7833</v>
      </c>
      <c r="D1043">
        <v>1.788474</v>
      </c>
      <c r="E1043">
        <v>1.525</v>
      </c>
      <c r="F1043">
        <v>3.313474</v>
      </c>
    </row>
    <row r="1044" spans="1:6">
      <c r="A1044" s="1" t="s">
        <v>154</v>
      </c>
      <c r="B1044" s="3">
        <v>44768</v>
      </c>
      <c r="C1044">
        <v>89.2583</v>
      </c>
      <c r="D1044">
        <v>1.758927</v>
      </c>
      <c r="E1044">
        <v>1.525</v>
      </c>
      <c r="F1044">
        <v>3.283927</v>
      </c>
    </row>
    <row r="1045" spans="1:6">
      <c r="A1045" s="1" t="s">
        <v>154</v>
      </c>
      <c r="B1045" s="3">
        <v>44860</v>
      </c>
      <c r="C1045">
        <v>87.7333</v>
      </c>
      <c r="D1045">
        <v>1.72938</v>
      </c>
      <c r="E1045">
        <v>1.525</v>
      </c>
      <c r="F1045">
        <v>3.25438</v>
      </c>
    </row>
    <row r="1046" spans="1:6">
      <c r="A1046" s="1" t="s">
        <v>154</v>
      </c>
      <c r="B1046" s="3">
        <v>44952</v>
      </c>
      <c r="C1046">
        <v>84.7333</v>
      </c>
      <c r="D1046">
        <v>1.699833</v>
      </c>
      <c r="E1046">
        <v>3.0</v>
      </c>
      <c r="F1046">
        <v>4.699833</v>
      </c>
    </row>
    <row r="1047" spans="1:6">
      <c r="A1047" s="1" t="s">
        <v>154</v>
      </c>
      <c r="B1047" s="3">
        <v>45042</v>
      </c>
      <c r="C1047">
        <v>81.7333</v>
      </c>
      <c r="D1047">
        <v>1.641708</v>
      </c>
      <c r="E1047">
        <v>3.0</v>
      </c>
      <c r="F1047">
        <v>4.641708</v>
      </c>
    </row>
    <row r="1048" spans="1:6">
      <c r="A1048" s="1" t="s">
        <v>154</v>
      </c>
      <c r="B1048" s="3">
        <v>45133</v>
      </c>
      <c r="C1048">
        <v>78.1743</v>
      </c>
      <c r="D1048">
        <v>1.583583</v>
      </c>
      <c r="E1048">
        <v>3.559078</v>
      </c>
      <c r="F1048">
        <v>5.142662</v>
      </c>
    </row>
    <row r="1049" spans="1:6">
      <c r="A1049" s="1" t="s">
        <v>154</v>
      </c>
      <c r="B1049" s="3">
        <v>45225</v>
      </c>
      <c r="C1049">
        <v>74.7445</v>
      </c>
      <c r="D1049">
        <v>1.514626</v>
      </c>
      <c r="E1049">
        <v>3.429783</v>
      </c>
      <c r="F1049">
        <v>4.944409</v>
      </c>
    </row>
    <row r="1050" spans="1:6">
      <c r="A1050" s="1" t="s">
        <v>154</v>
      </c>
      <c r="B1050" s="3">
        <v>45317</v>
      </c>
      <c r="C1050">
        <v>70.8945</v>
      </c>
      <c r="D1050">
        <v>1.448174</v>
      </c>
      <c r="E1050">
        <v>3.85</v>
      </c>
      <c r="F1050">
        <v>5.298174</v>
      </c>
    </row>
    <row r="1051" spans="1:6">
      <c r="A1051" s="1" t="s">
        <v>154</v>
      </c>
      <c r="B1051" s="3">
        <v>45408</v>
      </c>
      <c r="C1051">
        <v>66.7356</v>
      </c>
      <c r="D1051">
        <v>1.37358</v>
      </c>
      <c r="E1051">
        <v>4.158898</v>
      </c>
      <c r="F1051">
        <v>5.532478</v>
      </c>
    </row>
    <row r="1052" spans="1:6">
      <c r="A1052" s="1" t="s">
        <v>154</v>
      </c>
      <c r="B1052" s="3">
        <v>45499</v>
      </c>
      <c r="C1052">
        <v>62.8856</v>
      </c>
      <c r="D1052">
        <v>1.293002</v>
      </c>
      <c r="E1052">
        <v>3.85</v>
      </c>
      <c r="F1052">
        <v>5.143002</v>
      </c>
    </row>
    <row r="1053" spans="1:6">
      <c r="A1053" s="1" t="s">
        <v>154</v>
      </c>
      <c r="B1053" s="3">
        <v>45593</v>
      </c>
      <c r="C1053">
        <v>58.8786</v>
      </c>
      <c r="D1053">
        <v>1.218408</v>
      </c>
      <c r="E1053">
        <v>4.006984</v>
      </c>
      <c r="F1053">
        <v>5.225392</v>
      </c>
    </row>
    <row r="1054" spans="1:6">
      <c r="A1054" s="1" t="s">
        <v>154</v>
      </c>
      <c r="B1054" s="3">
        <v>45684</v>
      </c>
      <c r="C1054">
        <v>54.9351</v>
      </c>
      <c r="D1054">
        <v>1.140773</v>
      </c>
      <c r="E1054">
        <v>3.943452</v>
      </c>
      <c r="F1054">
        <v>5.084225</v>
      </c>
    </row>
    <row r="1055" spans="1:6">
      <c r="A1055" s="1" t="s">
        <v>154</v>
      </c>
      <c r="B1055" s="3">
        <v>45775</v>
      </c>
      <c r="C1055">
        <v>51.0851</v>
      </c>
      <c r="D1055">
        <v>1.064368</v>
      </c>
      <c r="E1055">
        <v>3.85</v>
      </c>
      <c r="F1055">
        <v>4.914368</v>
      </c>
    </row>
    <row r="1056" spans="1:6">
      <c r="A1056" s="1" t="s">
        <v>154</v>
      </c>
      <c r="B1056" s="3">
        <v>45866</v>
      </c>
      <c r="C1056">
        <v>47.2351</v>
      </c>
      <c r="D1056">
        <v>0.989774</v>
      </c>
      <c r="E1056">
        <v>3.85</v>
      </c>
      <c r="F1056">
        <v>4.839774</v>
      </c>
    </row>
    <row r="1057" spans="1:6">
      <c r="A1057" s="1" t="s">
        <v>154</v>
      </c>
      <c r="B1057" s="3">
        <v>45957</v>
      </c>
      <c r="C1057">
        <v>43.3851</v>
      </c>
      <c r="D1057">
        <v>0.915181</v>
      </c>
      <c r="E1057">
        <v>3.85</v>
      </c>
      <c r="F1057">
        <v>4.765181</v>
      </c>
    </row>
    <row r="1058" spans="1:6">
      <c r="A1058" s="1" t="s">
        <v>154</v>
      </c>
      <c r="B1058" s="3">
        <v>46048</v>
      </c>
      <c r="C1058">
        <v>39.5351</v>
      </c>
      <c r="D1058">
        <v>0.840587</v>
      </c>
      <c r="E1058">
        <v>3.85</v>
      </c>
      <c r="F1058">
        <v>4.690587</v>
      </c>
    </row>
    <row r="1059" spans="1:6">
      <c r="A1059" s="1" t="s">
        <v>154</v>
      </c>
      <c r="B1059" s="3">
        <v>46139</v>
      </c>
      <c r="C1059">
        <v>35.6851</v>
      </c>
      <c r="D1059">
        <v>0.765993</v>
      </c>
      <c r="E1059">
        <v>3.85</v>
      </c>
      <c r="F1059">
        <v>4.615993</v>
      </c>
    </row>
    <row r="1060" spans="1:6">
      <c r="A1060" s="1" t="s">
        <v>154</v>
      </c>
      <c r="B1060" s="3">
        <v>46230</v>
      </c>
      <c r="C1060">
        <v>31.8351</v>
      </c>
      <c r="D1060">
        <v>0.691399</v>
      </c>
      <c r="E1060">
        <v>3.85</v>
      </c>
      <c r="F1060">
        <v>4.541399</v>
      </c>
    </row>
    <row r="1061" spans="1:6">
      <c r="A1061" s="1" t="s">
        <v>154</v>
      </c>
      <c r="B1061" s="3">
        <v>46321</v>
      </c>
      <c r="C1061">
        <v>27.9851</v>
      </c>
      <c r="D1061">
        <v>0.616806</v>
      </c>
      <c r="E1061">
        <v>3.85</v>
      </c>
      <c r="F1061">
        <v>4.466806</v>
      </c>
    </row>
    <row r="1062" spans="1:6">
      <c r="A1062" s="1" t="s">
        <v>154</v>
      </c>
      <c r="B1062" s="3">
        <v>46413</v>
      </c>
      <c r="C1062">
        <v>24.1351</v>
      </c>
      <c r="D1062">
        <v>0.542212</v>
      </c>
      <c r="E1062">
        <v>3.85</v>
      </c>
      <c r="F1062">
        <v>4.392212</v>
      </c>
    </row>
    <row r="1063" spans="1:6">
      <c r="A1063" s="1" t="s">
        <v>154</v>
      </c>
      <c r="B1063" s="3">
        <v>46503</v>
      </c>
      <c r="C1063">
        <v>20.2851</v>
      </c>
      <c r="D1063">
        <v>0.467618</v>
      </c>
      <c r="E1063">
        <v>3.85</v>
      </c>
      <c r="F1063">
        <v>4.317618</v>
      </c>
    </row>
    <row r="1064" spans="1:6">
      <c r="A1064" s="1" t="s">
        <v>154</v>
      </c>
      <c r="B1064" s="3">
        <v>46594</v>
      </c>
      <c r="C1064">
        <v>16.4351</v>
      </c>
      <c r="D1064">
        <v>0.393024</v>
      </c>
      <c r="E1064">
        <v>3.85</v>
      </c>
      <c r="F1064">
        <v>4.243024</v>
      </c>
    </row>
    <row r="1065" spans="1:6">
      <c r="A1065" s="1" t="s">
        <v>154</v>
      </c>
      <c r="B1065" s="3">
        <v>46686</v>
      </c>
      <c r="C1065">
        <v>12.5851</v>
      </c>
      <c r="D1065">
        <v>0.318431</v>
      </c>
      <c r="E1065">
        <v>3.85</v>
      </c>
      <c r="F1065">
        <v>4.168431</v>
      </c>
    </row>
    <row r="1066" spans="1:6">
      <c r="A1066" s="1" t="s">
        <v>154</v>
      </c>
      <c r="B1066" s="3">
        <v>46778</v>
      </c>
      <c r="C1066">
        <v>9.0851</v>
      </c>
      <c r="D1066">
        <v>0.243837</v>
      </c>
      <c r="E1066">
        <v>3.5</v>
      </c>
      <c r="F1066">
        <v>3.743837</v>
      </c>
    </row>
    <row r="1067" spans="1:6">
      <c r="A1067" s="1" t="s">
        <v>154</v>
      </c>
      <c r="B1067" s="3">
        <v>46869</v>
      </c>
      <c r="C1067">
        <v>6.2351</v>
      </c>
      <c r="D1067">
        <v>0.176024</v>
      </c>
      <c r="E1067">
        <v>2.85</v>
      </c>
      <c r="F1067">
        <v>3.026024</v>
      </c>
    </row>
    <row r="1068" spans="1:6">
      <c r="A1068" s="1" t="s">
        <v>154</v>
      </c>
      <c r="B1068" s="3">
        <v>46960</v>
      </c>
      <c r="C1068">
        <v>3.3851</v>
      </c>
      <c r="D1068">
        <v>0.120806</v>
      </c>
      <c r="E1068">
        <v>2.85</v>
      </c>
      <c r="F1068">
        <v>2.970806</v>
      </c>
    </row>
    <row r="1069" spans="1:6">
      <c r="A1069" s="1" t="s">
        <v>154</v>
      </c>
      <c r="B1069" s="3">
        <v>47052</v>
      </c>
      <c r="C1069">
        <v>0.5351</v>
      </c>
      <c r="D1069">
        <v>0.065587</v>
      </c>
      <c r="E1069">
        <v>2.85</v>
      </c>
      <c r="F1069">
        <v>2.915587</v>
      </c>
    </row>
    <row r="1070" spans="1:6">
      <c r="A1070" s="1" t="s">
        <v>154</v>
      </c>
      <c r="B1070" s="3">
        <v>47144</v>
      </c>
      <c r="C1070">
        <v>0.1876</v>
      </c>
      <c r="D1070">
        <v>0.010368</v>
      </c>
      <c r="E1070">
        <v>0.3475</v>
      </c>
      <c r="F1070">
        <v>0.357868</v>
      </c>
    </row>
    <row r="1071" spans="1:6">
      <c r="A1071" s="1" t="s">
        <v>154</v>
      </c>
      <c r="B1071" s="3">
        <v>47234</v>
      </c>
      <c r="C1071">
        <v>0.0</v>
      </c>
      <c r="D1071">
        <v>0.003635</v>
      </c>
      <c r="E1071">
        <v>0.187635</v>
      </c>
      <c r="F1071">
        <v>0.19127</v>
      </c>
    </row>
    <row r="1072" spans="1:6">
      <c r="A1072" s="1" t="s">
        <v>154</v>
      </c>
      <c r="B1072" s="3">
        <v>47325</v>
      </c>
      <c r="C1072">
        <v>0.0</v>
      </c>
      <c r="D1072">
        <v>0.0</v>
      </c>
      <c r="E1072">
        <v>0.0</v>
      </c>
      <c r="F1072">
        <v>0.0</v>
      </c>
    </row>
    <row r="1073" spans="1:6">
      <c r="A1073" s="1" t="s">
        <v>435</v>
      </c>
      <c r="B1073" s="3">
        <v>46118</v>
      </c>
      <c r="C1073">
        <v>100.0</v>
      </c>
      <c r="D1073">
        <v>2.941918</v>
      </c>
      <c r="E1073">
        <v>0.0</v>
      </c>
      <c r="F1073">
        <v>2.941918</v>
      </c>
    </row>
    <row r="1074" spans="1:6">
      <c r="A1074" s="1" t="s">
        <v>435</v>
      </c>
      <c r="B1074" s="3">
        <v>46301</v>
      </c>
      <c r="C1074">
        <v>0.0</v>
      </c>
      <c r="D1074">
        <v>2.958082</v>
      </c>
      <c r="E1074">
        <v>100.0</v>
      </c>
      <c r="F1074">
        <v>102.958082</v>
      </c>
    </row>
    <row r="1075" spans="1:6">
      <c r="A1075" s="1" t="s">
        <v>148</v>
      </c>
      <c r="B1075" s="3">
        <v>42971</v>
      </c>
      <c r="C1075">
        <v>100.0</v>
      </c>
      <c r="D1075">
        <v>4.875</v>
      </c>
      <c r="E1075">
        <v>0.0</v>
      </c>
      <c r="F1075">
        <v>4.875</v>
      </c>
    </row>
    <row r="1076" spans="1:6">
      <c r="A1076" s="1" t="s">
        <v>148</v>
      </c>
      <c r="B1076" s="3">
        <v>43157</v>
      </c>
      <c r="C1076">
        <v>100.0</v>
      </c>
      <c r="D1076">
        <v>4.875</v>
      </c>
      <c r="E1076">
        <v>0.0</v>
      </c>
      <c r="F1076">
        <v>4.875</v>
      </c>
    </row>
    <row r="1077" spans="1:6">
      <c r="A1077" s="1" t="s">
        <v>148</v>
      </c>
      <c r="B1077" s="3">
        <v>43336</v>
      </c>
      <c r="C1077">
        <v>100.0</v>
      </c>
      <c r="D1077">
        <v>4.875</v>
      </c>
      <c r="E1077">
        <v>0.0</v>
      </c>
      <c r="F1077">
        <v>4.875</v>
      </c>
    </row>
    <row r="1078" spans="1:6">
      <c r="A1078" s="1" t="s">
        <v>148</v>
      </c>
      <c r="B1078" s="3">
        <v>43521</v>
      </c>
      <c r="C1078">
        <v>100.0</v>
      </c>
      <c r="D1078">
        <v>4.875</v>
      </c>
      <c r="E1078">
        <v>0.0</v>
      </c>
      <c r="F1078">
        <v>4.875</v>
      </c>
    </row>
    <row r="1079" spans="1:6">
      <c r="A1079" s="1" t="s">
        <v>148</v>
      </c>
      <c r="B1079" s="3">
        <v>43703</v>
      </c>
      <c r="C1079">
        <v>100.0</v>
      </c>
      <c r="D1079">
        <v>4.875</v>
      </c>
      <c r="E1079">
        <v>0.0</v>
      </c>
      <c r="F1079">
        <v>4.875</v>
      </c>
    </row>
    <row r="1080" spans="1:6">
      <c r="A1080" s="1" t="s">
        <v>148</v>
      </c>
      <c r="B1080" s="3">
        <v>43887</v>
      </c>
      <c r="C1080">
        <v>100.0</v>
      </c>
      <c r="D1080">
        <v>4.875</v>
      </c>
      <c r="E1080">
        <v>0.0</v>
      </c>
      <c r="F1080">
        <v>4.875</v>
      </c>
    </row>
    <row r="1081" spans="1:6">
      <c r="A1081" s="1" t="s">
        <v>148</v>
      </c>
      <c r="B1081" s="3">
        <v>44067</v>
      </c>
      <c r="C1081">
        <v>100.0</v>
      </c>
      <c r="D1081">
        <v>0.0</v>
      </c>
      <c r="E1081">
        <v>0.0</v>
      </c>
      <c r="F1081">
        <v>0.0</v>
      </c>
    </row>
    <row r="1082" spans="1:6">
      <c r="A1082" s="1" t="s">
        <v>148</v>
      </c>
      <c r="B1082" s="3">
        <v>44251</v>
      </c>
      <c r="C1082">
        <v>100.0</v>
      </c>
      <c r="D1082">
        <v>0.0</v>
      </c>
      <c r="E1082">
        <v>0.0</v>
      </c>
      <c r="F1082">
        <v>0.0</v>
      </c>
    </row>
    <row r="1083" spans="1:6">
      <c r="A1083" s="1" t="s">
        <v>148</v>
      </c>
      <c r="B1083" s="3">
        <v>44432</v>
      </c>
      <c r="C1083">
        <v>100.0</v>
      </c>
      <c r="D1083">
        <v>0.0</v>
      </c>
      <c r="E1083">
        <v>0.0</v>
      </c>
      <c r="F1083">
        <v>0.0</v>
      </c>
    </row>
    <row r="1084" spans="1:6">
      <c r="A1084" s="1" t="s">
        <v>148</v>
      </c>
      <c r="B1084" s="3">
        <v>44616</v>
      </c>
      <c r="C1084">
        <v>100.0</v>
      </c>
      <c r="D1084">
        <v>1.75</v>
      </c>
      <c r="E1084">
        <v>0.0</v>
      </c>
      <c r="F1084">
        <v>1.75</v>
      </c>
    </row>
    <row r="1085" spans="1:6">
      <c r="A1085" s="1" t="s">
        <v>148</v>
      </c>
      <c r="B1085" s="3">
        <v>44797</v>
      </c>
      <c r="C1085">
        <v>100.0</v>
      </c>
      <c r="D1085">
        <v>2.375</v>
      </c>
      <c r="E1085">
        <v>0.0</v>
      </c>
      <c r="F1085">
        <v>2.375</v>
      </c>
    </row>
    <row r="1086" spans="1:6">
      <c r="A1086" s="1" t="s">
        <v>148</v>
      </c>
      <c r="B1086" s="3">
        <v>44981</v>
      </c>
      <c r="C1086">
        <v>100.0</v>
      </c>
      <c r="D1086">
        <v>2.375</v>
      </c>
      <c r="E1086">
        <v>0.0</v>
      </c>
      <c r="F1086">
        <v>2.375</v>
      </c>
    </row>
    <row r="1087" spans="1:6">
      <c r="A1087" s="1" t="s">
        <v>148</v>
      </c>
      <c r="B1087" s="3">
        <v>45162</v>
      </c>
      <c r="C1087">
        <v>100.0</v>
      </c>
      <c r="D1087">
        <v>3.25</v>
      </c>
      <c r="E1087">
        <v>0.0</v>
      </c>
      <c r="F1087">
        <v>3.25</v>
      </c>
    </row>
    <row r="1088" spans="1:6">
      <c r="A1088" s="1" t="s">
        <v>148</v>
      </c>
      <c r="B1088" s="3">
        <v>45348</v>
      </c>
      <c r="C1088">
        <v>95.0</v>
      </c>
      <c r="D1088">
        <v>3.25</v>
      </c>
      <c r="E1088">
        <v>5.0</v>
      </c>
      <c r="F1088">
        <v>8.25</v>
      </c>
    </row>
    <row r="1089" spans="1:6">
      <c r="A1089" s="1" t="s">
        <v>148</v>
      </c>
      <c r="B1089" s="3">
        <v>45530</v>
      </c>
      <c r="C1089">
        <v>83.125</v>
      </c>
      <c r="D1089">
        <v>4.0375</v>
      </c>
      <c r="E1089">
        <v>11.875</v>
      </c>
      <c r="F1089">
        <v>15.9125</v>
      </c>
    </row>
    <row r="1090" spans="1:6">
      <c r="A1090" s="1" t="s">
        <v>148</v>
      </c>
      <c r="B1090" s="3">
        <v>45712</v>
      </c>
      <c r="C1090">
        <v>71.25</v>
      </c>
      <c r="D1090">
        <v>3.532813</v>
      </c>
      <c r="E1090">
        <v>11.875</v>
      </c>
      <c r="F1090">
        <v>15.407813</v>
      </c>
    </row>
    <row r="1091" spans="1:6">
      <c r="A1091" s="1" t="s">
        <v>148</v>
      </c>
      <c r="B1091" s="3">
        <v>45894</v>
      </c>
      <c r="C1091">
        <v>59.375</v>
      </c>
      <c r="D1091">
        <v>3.028125</v>
      </c>
      <c r="E1091">
        <v>11.875</v>
      </c>
      <c r="F1091">
        <v>14.903125</v>
      </c>
    </row>
    <row r="1092" spans="1:6">
      <c r="A1092" s="1" t="s">
        <v>148</v>
      </c>
      <c r="B1092" s="3">
        <v>46077</v>
      </c>
      <c r="C1092">
        <v>47.5</v>
      </c>
      <c r="D1092">
        <v>2.523438</v>
      </c>
      <c r="E1092">
        <v>11.875</v>
      </c>
      <c r="F1092">
        <v>14.398438</v>
      </c>
    </row>
    <row r="1093" spans="1:6">
      <c r="A1093" s="1" t="s">
        <v>148</v>
      </c>
      <c r="B1093" s="3">
        <v>46258</v>
      </c>
      <c r="C1093">
        <v>35.625</v>
      </c>
      <c r="D1093">
        <v>2.01875</v>
      </c>
      <c r="E1093">
        <v>11.875</v>
      </c>
      <c r="F1093">
        <v>13.89375</v>
      </c>
    </row>
    <row r="1094" spans="1:6">
      <c r="A1094" s="1" t="s">
        <v>148</v>
      </c>
      <c r="B1094" s="3">
        <v>46442</v>
      </c>
      <c r="C1094">
        <v>23.75</v>
      </c>
      <c r="D1094">
        <v>1.514063</v>
      </c>
      <c r="E1094">
        <v>11.875</v>
      </c>
      <c r="F1094">
        <v>13.389062</v>
      </c>
    </row>
    <row r="1095" spans="1:6">
      <c r="A1095" s="1" t="s">
        <v>148</v>
      </c>
      <c r="B1095" s="3">
        <v>46623</v>
      </c>
      <c r="C1095">
        <v>11.875</v>
      </c>
      <c r="D1095">
        <v>1.009375</v>
      </c>
      <c r="E1095">
        <v>11.875</v>
      </c>
      <c r="F1095">
        <v>12.884375</v>
      </c>
    </row>
    <row r="1096" spans="1:6">
      <c r="A1096" s="1" t="s">
        <v>148</v>
      </c>
      <c r="B1096" s="3">
        <v>46807</v>
      </c>
      <c r="C1096">
        <v>0.0</v>
      </c>
      <c r="D1096">
        <v>0.504688</v>
      </c>
      <c r="E1096">
        <v>11.875</v>
      </c>
      <c r="F1096">
        <v>12.379687</v>
      </c>
    </row>
    <row r="1097" spans="1:6">
      <c r="A1097" s="1" t="s">
        <v>150</v>
      </c>
      <c r="B1097" s="3">
        <v>43258</v>
      </c>
      <c r="C1097">
        <v>100.0</v>
      </c>
      <c r="D1097">
        <v>3.875</v>
      </c>
      <c r="E1097">
        <v>0.0</v>
      </c>
      <c r="F1097">
        <v>3.875</v>
      </c>
    </row>
    <row r="1098" spans="1:6">
      <c r="A1098" s="1" t="s">
        <v>150</v>
      </c>
      <c r="B1098" s="3">
        <v>43441</v>
      </c>
      <c r="C1098">
        <v>100.0</v>
      </c>
      <c r="D1098">
        <v>3.875</v>
      </c>
      <c r="E1098">
        <v>0.0</v>
      </c>
      <c r="F1098">
        <v>3.875</v>
      </c>
    </row>
    <row r="1099" spans="1:6">
      <c r="A1099" s="1" t="s">
        <v>150</v>
      </c>
      <c r="B1099" s="3">
        <v>43623</v>
      </c>
      <c r="C1099">
        <v>100.0</v>
      </c>
      <c r="D1099">
        <v>3.875</v>
      </c>
      <c r="E1099">
        <v>0.0</v>
      </c>
      <c r="F1099">
        <v>3.875</v>
      </c>
    </row>
    <row r="1100" spans="1:6">
      <c r="A1100" s="1" t="s">
        <v>150</v>
      </c>
      <c r="B1100" s="3">
        <v>43808</v>
      </c>
      <c r="C1100">
        <v>100.0</v>
      </c>
      <c r="D1100">
        <v>3.875</v>
      </c>
      <c r="E1100">
        <v>0.0</v>
      </c>
      <c r="F1100">
        <v>3.875</v>
      </c>
    </row>
    <row r="1101" spans="1:6">
      <c r="A1101" s="1" t="s">
        <v>150</v>
      </c>
      <c r="B1101" s="3">
        <v>44188</v>
      </c>
      <c r="C1101">
        <v>100.0</v>
      </c>
      <c r="D1101">
        <v>0.0</v>
      </c>
      <c r="E1101">
        <v>0.0</v>
      </c>
      <c r="F1101">
        <v>0.0</v>
      </c>
    </row>
    <row r="1102" spans="1:6">
      <c r="A1102" s="1" t="s">
        <v>150</v>
      </c>
      <c r="B1102" s="3">
        <v>44449</v>
      </c>
      <c r="C1102">
        <v>100.0</v>
      </c>
      <c r="D1102">
        <v>1.963194</v>
      </c>
      <c r="E1102">
        <v>0.0</v>
      </c>
      <c r="F1102">
        <v>1.963194</v>
      </c>
    </row>
    <row r="1103" spans="1:6">
      <c r="A1103" s="1" t="s">
        <v>150</v>
      </c>
      <c r="B1103" s="3">
        <v>44630</v>
      </c>
      <c r="C1103">
        <v>100.0</v>
      </c>
      <c r="D1103">
        <v>2.4375</v>
      </c>
      <c r="E1103">
        <v>0.0</v>
      </c>
      <c r="F1103">
        <v>2.4375</v>
      </c>
    </row>
    <row r="1104" spans="1:6">
      <c r="A1104" s="1" t="s">
        <v>150</v>
      </c>
      <c r="B1104" s="3">
        <v>44816</v>
      </c>
      <c r="C1104">
        <v>100.0</v>
      </c>
      <c r="D1104">
        <v>2.4375</v>
      </c>
      <c r="E1104">
        <v>0.0</v>
      </c>
      <c r="F1104">
        <v>2.4375</v>
      </c>
    </row>
    <row r="1105" spans="1:6">
      <c r="A1105" s="1" t="s">
        <v>150</v>
      </c>
      <c r="B1105" s="3">
        <v>44995</v>
      </c>
      <c r="C1105">
        <v>100.0</v>
      </c>
      <c r="D1105">
        <v>3.3125</v>
      </c>
      <c r="E1105">
        <v>0.0</v>
      </c>
      <c r="F1105">
        <v>3.3125</v>
      </c>
    </row>
    <row r="1106" spans="1:6">
      <c r="A1106" s="1" t="s">
        <v>150</v>
      </c>
      <c r="B1106" s="3">
        <v>45180</v>
      </c>
      <c r="C1106">
        <v>100.0</v>
      </c>
      <c r="D1106">
        <v>3.3125</v>
      </c>
      <c r="E1106">
        <v>0.0</v>
      </c>
      <c r="F1106">
        <v>3.3125</v>
      </c>
    </row>
    <row r="1107" spans="1:6">
      <c r="A1107" s="1" t="s">
        <v>150</v>
      </c>
      <c r="B1107" s="3">
        <v>45362</v>
      </c>
      <c r="C1107">
        <v>88.8889</v>
      </c>
      <c r="D1107">
        <v>3.4375</v>
      </c>
      <c r="E1107">
        <v>11.111111</v>
      </c>
      <c r="F1107">
        <v>14.548611</v>
      </c>
    </row>
    <row r="1108" spans="1:6">
      <c r="A1108" s="1" t="s">
        <v>150</v>
      </c>
      <c r="B1108" s="3">
        <v>45545</v>
      </c>
      <c r="C1108">
        <v>77.7778</v>
      </c>
      <c r="D1108">
        <v>3.055556</v>
      </c>
      <c r="E1108">
        <v>11.111111</v>
      </c>
      <c r="F1108">
        <v>14.166667</v>
      </c>
    </row>
    <row r="1109" spans="1:6">
      <c r="A1109" s="1" t="s">
        <v>150</v>
      </c>
      <c r="B1109" s="3">
        <v>45726</v>
      </c>
      <c r="C1109">
        <v>66.6667</v>
      </c>
      <c r="D1109">
        <v>2.673611</v>
      </c>
      <c r="E1109">
        <v>11.111111</v>
      </c>
      <c r="F1109">
        <v>13.784722</v>
      </c>
    </row>
    <row r="1110" spans="1:6">
      <c r="A1110" s="1" t="s">
        <v>150</v>
      </c>
      <c r="B1110" s="3">
        <v>45910</v>
      </c>
      <c r="C1110">
        <v>55.5556</v>
      </c>
      <c r="D1110">
        <v>2.291667</v>
      </c>
      <c r="E1110">
        <v>11.111111</v>
      </c>
      <c r="F1110">
        <v>13.402778</v>
      </c>
    </row>
    <row r="1111" spans="1:6">
      <c r="A1111" s="1" t="s">
        <v>150</v>
      </c>
      <c r="B1111" s="3">
        <v>46091</v>
      </c>
      <c r="C1111">
        <v>44.4444</v>
      </c>
      <c r="D1111">
        <v>1.909722</v>
      </c>
      <c r="E1111">
        <v>11.111111</v>
      </c>
      <c r="F1111">
        <v>13.020833</v>
      </c>
    </row>
    <row r="1112" spans="1:6">
      <c r="A1112" s="1" t="s">
        <v>150</v>
      </c>
      <c r="B1112" s="3">
        <v>46275</v>
      </c>
      <c r="C1112">
        <v>33.3333</v>
      </c>
      <c r="D1112">
        <v>1.527778</v>
      </c>
      <c r="E1112">
        <v>11.111111</v>
      </c>
      <c r="F1112">
        <v>12.638889</v>
      </c>
    </row>
    <row r="1113" spans="1:6">
      <c r="A1113" s="1" t="s">
        <v>150</v>
      </c>
      <c r="B1113" s="3">
        <v>46456</v>
      </c>
      <c r="C1113">
        <v>22.2222</v>
      </c>
      <c r="D1113">
        <v>1.145833</v>
      </c>
      <c r="E1113">
        <v>11.111111</v>
      </c>
      <c r="F1113">
        <v>12.256944</v>
      </c>
    </row>
    <row r="1114" spans="1:6">
      <c r="A1114" s="1" t="s">
        <v>150</v>
      </c>
      <c r="B1114" s="3">
        <v>46640</v>
      </c>
      <c r="C1114">
        <v>11.1111</v>
      </c>
      <c r="D1114">
        <v>0.763889</v>
      </c>
      <c r="E1114">
        <v>11.111111</v>
      </c>
      <c r="F1114">
        <v>11.875</v>
      </c>
    </row>
    <row r="1115" spans="1:6">
      <c r="A1115" s="1" t="s">
        <v>150</v>
      </c>
      <c r="B1115" s="3">
        <v>46822</v>
      </c>
      <c r="C1115">
        <v>0.0</v>
      </c>
      <c r="D1115">
        <v>0.381944</v>
      </c>
      <c r="E1115">
        <v>11.111112</v>
      </c>
      <c r="F1115">
        <v>11.493056</v>
      </c>
    </row>
    <row r="1116" spans="1:6">
      <c r="A1116" s="1" t="s">
        <v>194</v>
      </c>
      <c r="B1116" s="3">
        <v>45813</v>
      </c>
      <c r="C1116">
        <v>100.0</v>
      </c>
      <c r="D1116">
        <v>4.875</v>
      </c>
      <c r="E1116">
        <v>0.0</v>
      </c>
      <c r="F1116">
        <v>4.875</v>
      </c>
    </row>
    <row r="1117" spans="1:6">
      <c r="A1117" s="1" t="s">
        <v>194</v>
      </c>
      <c r="B1117" s="3">
        <v>45996</v>
      </c>
      <c r="C1117">
        <v>100.0</v>
      </c>
      <c r="D1117">
        <v>4.875</v>
      </c>
      <c r="E1117">
        <v>0.0</v>
      </c>
      <c r="F1117">
        <v>4.875</v>
      </c>
    </row>
    <row r="1118" spans="1:6">
      <c r="A1118" s="1" t="s">
        <v>194</v>
      </c>
      <c r="B1118" s="3">
        <v>46178</v>
      </c>
      <c r="C1118">
        <v>100.0</v>
      </c>
      <c r="D1118">
        <v>4.875</v>
      </c>
      <c r="E1118">
        <v>0.0</v>
      </c>
      <c r="F1118">
        <v>4.875</v>
      </c>
    </row>
    <row r="1119" spans="1:6">
      <c r="A1119" s="1" t="s">
        <v>194</v>
      </c>
      <c r="B1119" s="3">
        <v>46365</v>
      </c>
      <c r="C1119">
        <v>100.0</v>
      </c>
      <c r="D1119">
        <v>4.875</v>
      </c>
      <c r="E1119">
        <v>0.0</v>
      </c>
      <c r="F1119">
        <v>4.875</v>
      </c>
    </row>
    <row r="1120" spans="1:6">
      <c r="A1120" s="1" t="s">
        <v>194</v>
      </c>
      <c r="B1120" s="3">
        <v>46545</v>
      </c>
      <c r="C1120">
        <v>100.0</v>
      </c>
      <c r="D1120">
        <v>4.875</v>
      </c>
      <c r="E1120">
        <v>0.0</v>
      </c>
      <c r="F1120">
        <v>4.875</v>
      </c>
    </row>
    <row r="1121" spans="1:6">
      <c r="A1121" s="1" t="s">
        <v>194</v>
      </c>
      <c r="B1121" s="3">
        <v>46727</v>
      </c>
      <c r="C1121">
        <v>100.0</v>
      </c>
      <c r="D1121">
        <v>4.875</v>
      </c>
      <c r="E1121">
        <v>0.0</v>
      </c>
      <c r="F1121">
        <v>4.875</v>
      </c>
    </row>
    <row r="1122" spans="1:6">
      <c r="A1122" s="1" t="s">
        <v>194</v>
      </c>
      <c r="B1122" s="3">
        <v>46909</v>
      </c>
      <c r="C1122">
        <v>100.0</v>
      </c>
      <c r="D1122">
        <v>4.875</v>
      </c>
      <c r="E1122">
        <v>0.0</v>
      </c>
      <c r="F1122">
        <v>4.875</v>
      </c>
    </row>
    <row r="1123" spans="1:6">
      <c r="A1123" s="1" t="s">
        <v>194</v>
      </c>
      <c r="B1123" s="3">
        <v>47092</v>
      </c>
      <c r="C1123">
        <v>82.5</v>
      </c>
      <c r="D1123">
        <v>4.875</v>
      </c>
      <c r="E1123">
        <v>17.5</v>
      </c>
      <c r="F1123">
        <v>22.375</v>
      </c>
    </row>
    <row r="1124" spans="1:6">
      <c r="A1124" s="1" t="s">
        <v>194</v>
      </c>
      <c r="B1124" s="3">
        <v>47274</v>
      </c>
      <c r="C1124">
        <v>82.5</v>
      </c>
      <c r="D1124">
        <v>4.021875</v>
      </c>
      <c r="E1124">
        <v>0.0</v>
      </c>
      <c r="F1124">
        <v>4.021875</v>
      </c>
    </row>
    <row r="1125" spans="1:6">
      <c r="A1125" s="1" t="s">
        <v>194</v>
      </c>
      <c r="B1125" s="3">
        <v>47457</v>
      </c>
      <c r="C1125">
        <v>65.0</v>
      </c>
      <c r="D1125">
        <v>4.021875</v>
      </c>
      <c r="E1125">
        <v>17.5</v>
      </c>
      <c r="F1125">
        <v>21.521875</v>
      </c>
    </row>
    <row r="1126" spans="1:6">
      <c r="A1126" s="1" t="s">
        <v>194</v>
      </c>
      <c r="B1126" s="3">
        <v>47639</v>
      </c>
      <c r="C1126">
        <v>65.0</v>
      </c>
      <c r="D1126">
        <v>3.16875</v>
      </c>
      <c r="E1126">
        <v>0.0</v>
      </c>
      <c r="F1126">
        <v>3.16875</v>
      </c>
    </row>
    <row r="1127" spans="1:6">
      <c r="A1127" s="1" t="s">
        <v>194</v>
      </c>
      <c r="B1127" s="3">
        <v>47822</v>
      </c>
      <c r="C1127">
        <v>0.0</v>
      </c>
      <c r="D1127">
        <v>3.16875</v>
      </c>
      <c r="E1127">
        <v>65.0</v>
      </c>
      <c r="F1127">
        <v>68.16875</v>
      </c>
    </row>
    <row r="1128" spans="1:6">
      <c r="A1128" s="1" t="s">
        <v>86</v>
      </c>
      <c r="B1128" s="3">
        <v>46062</v>
      </c>
      <c r="C1128">
        <v>100.0</v>
      </c>
      <c r="D1128">
        <v>0.0</v>
      </c>
      <c r="E1128">
        <v>0.0</v>
      </c>
      <c r="F1128">
        <v>0.0</v>
      </c>
    </row>
    <row r="1129" spans="1:6">
      <c r="A1129" s="1" t="s">
        <v>86</v>
      </c>
      <c r="B1129" s="3">
        <v>46142</v>
      </c>
      <c r="C1129">
        <v>100.0</v>
      </c>
      <c r="D1129">
        <v>1.643836</v>
      </c>
      <c r="E1129">
        <v>0.0</v>
      </c>
      <c r="F1129">
        <v>1.643836</v>
      </c>
    </row>
    <row r="1130" spans="1:6">
      <c r="A1130" s="1" t="s">
        <v>86</v>
      </c>
      <c r="B1130" s="3">
        <v>46233</v>
      </c>
      <c r="C1130">
        <v>100.0</v>
      </c>
      <c r="D1130">
        <v>1.869863</v>
      </c>
      <c r="E1130">
        <v>0.0</v>
      </c>
      <c r="F1130">
        <v>1.869863</v>
      </c>
    </row>
    <row r="1131" spans="1:6">
      <c r="A1131" s="1" t="s">
        <v>86</v>
      </c>
      <c r="B1131" s="3">
        <v>46325</v>
      </c>
      <c r="C1131">
        <v>100.0</v>
      </c>
      <c r="D1131">
        <v>1.890411</v>
      </c>
      <c r="E1131">
        <v>0.0</v>
      </c>
      <c r="F1131">
        <v>1.890411</v>
      </c>
    </row>
    <row r="1132" spans="1:6">
      <c r="A1132" s="1" t="s">
        <v>86</v>
      </c>
      <c r="B1132" s="3">
        <v>46417</v>
      </c>
      <c r="C1132">
        <v>100.0</v>
      </c>
      <c r="D1132">
        <v>1.890411</v>
      </c>
      <c r="E1132">
        <v>0.0</v>
      </c>
      <c r="F1132">
        <v>1.890411</v>
      </c>
    </row>
    <row r="1133" spans="1:6">
      <c r="A1133" s="1" t="s">
        <v>86</v>
      </c>
      <c r="B1133" s="3">
        <v>46507</v>
      </c>
      <c r="C1133">
        <v>100.0</v>
      </c>
      <c r="D1133">
        <v>1.849315</v>
      </c>
      <c r="E1133">
        <v>0.0</v>
      </c>
      <c r="F1133">
        <v>1.849315</v>
      </c>
    </row>
    <row r="1134" spans="1:6">
      <c r="A1134" s="1" t="s">
        <v>86</v>
      </c>
      <c r="B1134" s="3">
        <v>46598</v>
      </c>
      <c r="C1134">
        <v>50.0</v>
      </c>
      <c r="D1134">
        <v>1.869863</v>
      </c>
      <c r="E1134">
        <v>50.0</v>
      </c>
      <c r="F1134">
        <v>51.869863</v>
      </c>
    </row>
    <row r="1135" spans="1:6">
      <c r="A1135" s="1" t="s">
        <v>86</v>
      </c>
      <c r="B1135" s="3">
        <v>46690</v>
      </c>
      <c r="C1135">
        <v>0.0</v>
      </c>
      <c r="D1135">
        <v>0.945205</v>
      </c>
      <c r="E1135">
        <v>50.0</v>
      </c>
      <c r="F1135">
        <v>50.945205</v>
      </c>
    </row>
    <row r="1136" spans="1:6">
      <c r="A1136" s="1" t="s">
        <v>132</v>
      </c>
      <c r="B1136" s="3">
        <v>42744</v>
      </c>
      <c r="C1136">
        <v>100.0</v>
      </c>
      <c r="D1136">
        <v>4.5625</v>
      </c>
      <c r="E1136">
        <v>0.0</v>
      </c>
      <c r="F1136">
        <v>4.5625</v>
      </c>
    </row>
    <row r="1137" spans="1:6">
      <c r="A1137" s="1" t="s">
        <v>132</v>
      </c>
      <c r="B1137" s="3">
        <v>42923</v>
      </c>
      <c r="C1137">
        <v>100.0</v>
      </c>
      <c r="D1137">
        <v>4.5625</v>
      </c>
      <c r="E1137">
        <v>0.0</v>
      </c>
      <c r="F1137">
        <v>4.5625</v>
      </c>
    </row>
    <row r="1138" spans="1:6">
      <c r="A1138" s="1" t="s">
        <v>132</v>
      </c>
      <c r="B1138" s="3">
        <v>43108</v>
      </c>
      <c r="C1138">
        <v>100.0</v>
      </c>
      <c r="D1138">
        <v>4.5625</v>
      </c>
      <c r="E1138">
        <v>0.0</v>
      </c>
      <c r="F1138">
        <v>4.5625</v>
      </c>
    </row>
    <row r="1139" spans="1:6">
      <c r="A1139" s="1" t="s">
        <v>132</v>
      </c>
      <c r="B1139" s="3">
        <v>43291</v>
      </c>
      <c r="C1139">
        <v>100.0</v>
      </c>
      <c r="D1139">
        <v>4.5625</v>
      </c>
      <c r="E1139">
        <v>0.0</v>
      </c>
      <c r="F1139">
        <v>4.5625</v>
      </c>
    </row>
    <row r="1140" spans="1:6">
      <c r="A1140" s="1" t="s">
        <v>132</v>
      </c>
      <c r="B1140" s="3">
        <v>43472</v>
      </c>
      <c r="C1140">
        <v>100.0</v>
      </c>
      <c r="D1140">
        <v>4.5625</v>
      </c>
      <c r="E1140">
        <v>0.0</v>
      </c>
      <c r="F1140">
        <v>4.5625</v>
      </c>
    </row>
    <row r="1141" spans="1:6">
      <c r="A1141" s="1" t="s">
        <v>132</v>
      </c>
      <c r="B1141" s="3">
        <v>43656</v>
      </c>
      <c r="C1141">
        <v>100.0</v>
      </c>
      <c r="D1141">
        <v>4.5625</v>
      </c>
      <c r="E1141">
        <v>0.0</v>
      </c>
      <c r="F1141">
        <v>4.5625</v>
      </c>
    </row>
    <row r="1142" spans="1:6">
      <c r="A1142" s="1" t="s">
        <v>132</v>
      </c>
      <c r="B1142" s="3">
        <v>43837</v>
      </c>
      <c r="C1142">
        <v>100.0</v>
      </c>
      <c r="D1142">
        <v>4.5625</v>
      </c>
      <c r="E1142">
        <v>0.0</v>
      </c>
      <c r="F1142">
        <v>4.5625</v>
      </c>
    </row>
    <row r="1143" spans="1:6">
      <c r="A1143" s="1" t="s">
        <v>132</v>
      </c>
      <c r="B1143" s="3">
        <v>44019</v>
      </c>
      <c r="C1143">
        <v>100.0</v>
      </c>
      <c r="D1143">
        <v>4.5625</v>
      </c>
      <c r="E1143">
        <v>0.0</v>
      </c>
      <c r="F1143">
        <v>4.5625</v>
      </c>
    </row>
    <row r="1144" spans="1:6">
      <c r="A1144" s="1" t="s">
        <v>132</v>
      </c>
      <c r="B1144" s="3">
        <v>44251</v>
      </c>
      <c r="C1144">
        <v>100.0</v>
      </c>
      <c r="D1144">
        <v>0.0</v>
      </c>
      <c r="E1144">
        <v>0.0</v>
      </c>
      <c r="F1144">
        <v>0.0</v>
      </c>
    </row>
    <row r="1145" spans="1:6">
      <c r="A1145" s="1" t="s">
        <v>132</v>
      </c>
      <c r="B1145" s="3">
        <v>44348</v>
      </c>
      <c r="C1145">
        <v>100.0</v>
      </c>
      <c r="D1145">
        <v>1.0778</v>
      </c>
      <c r="E1145">
        <v>0.0</v>
      </c>
      <c r="F1145">
        <v>1.0778</v>
      </c>
    </row>
    <row r="1146" spans="1:6">
      <c r="A1146" s="1" t="s">
        <v>132</v>
      </c>
      <c r="B1146" s="3">
        <v>44531</v>
      </c>
      <c r="C1146">
        <v>100.0</v>
      </c>
      <c r="D1146">
        <v>2.5</v>
      </c>
      <c r="E1146">
        <v>0.0</v>
      </c>
      <c r="F1146">
        <v>2.5</v>
      </c>
    </row>
    <row r="1147" spans="1:6">
      <c r="A1147" s="1" t="s">
        <v>132</v>
      </c>
      <c r="B1147" s="3">
        <v>44713</v>
      </c>
      <c r="C1147">
        <v>100.0</v>
      </c>
      <c r="D1147">
        <v>2.5</v>
      </c>
      <c r="E1147">
        <v>0.0</v>
      </c>
      <c r="F1147">
        <v>2.5</v>
      </c>
    </row>
    <row r="1148" spans="1:6">
      <c r="A1148" s="1" t="s">
        <v>132</v>
      </c>
      <c r="B1148" s="3">
        <v>44896</v>
      </c>
      <c r="C1148">
        <v>100.0</v>
      </c>
      <c r="D1148">
        <v>4.25</v>
      </c>
      <c r="E1148">
        <v>0.0</v>
      </c>
      <c r="F1148">
        <v>4.25</v>
      </c>
    </row>
    <row r="1149" spans="1:6">
      <c r="A1149" s="1" t="s">
        <v>132</v>
      </c>
      <c r="B1149" s="3">
        <v>45078</v>
      </c>
      <c r="C1149">
        <v>95.0</v>
      </c>
      <c r="D1149">
        <v>4.25</v>
      </c>
      <c r="E1149">
        <v>5.0</v>
      </c>
      <c r="F1149">
        <v>9.25</v>
      </c>
    </row>
    <row r="1150" spans="1:6">
      <c r="A1150" s="1" t="s">
        <v>132</v>
      </c>
      <c r="B1150" s="3">
        <v>45261</v>
      </c>
      <c r="C1150">
        <v>90.0</v>
      </c>
      <c r="D1150">
        <v>4.0375</v>
      </c>
      <c r="E1150">
        <v>5.0</v>
      </c>
      <c r="F1150">
        <v>9.0375</v>
      </c>
    </row>
    <row r="1151" spans="1:6">
      <c r="A1151" s="1" t="s">
        <v>132</v>
      </c>
      <c r="B1151" s="3">
        <v>45446</v>
      </c>
      <c r="C1151">
        <v>82.5</v>
      </c>
      <c r="D1151">
        <v>3.825</v>
      </c>
      <c r="E1151">
        <v>7.5</v>
      </c>
      <c r="F1151">
        <v>11.325</v>
      </c>
    </row>
    <row r="1152" spans="1:6">
      <c r="A1152" s="1" t="s">
        <v>132</v>
      </c>
      <c r="B1152" s="3">
        <v>45628</v>
      </c>
      <c r="C1152">
        <v>75.0</v>
      </c>
      <c r="D1152">
        <v>3.5063</v>
      </c>
      <c r="E1152">
        <v>7.5</v>
      </c>
      <c r="F1152">
        <v>11.0063</v>
      </c>
    </row>
    <row r="1153" spans="1:6">
      <c r="A1153" s="1" t="s">
        <v>132</v>
      </c>
      <c r="B1153" s="3">
        <v>45810</v>
      </c>
      <c r="C1153">
        <v>62.5</v>
      </c>
      <c r="D1153">
        <v>3.1875</v>
      </c>
      <c r="E1153">
        <v>12.5</v>
      </c>
      <c r="F1153">
        <v>15.6875</v>
      </c>
    </row>
    <row r="1154" spans="1:6">
      <c r="A1154" s="1" t="s">
        <v>132</v>
      </c>
      <c r="B1154" s="3">
        <v>45992</v>
      </c>
      <c r="C1154">
        <v>50.0</v>
      </c>
      <c r="D1154">
        <v>2.6563</v>
      </c>
      <c r="E1154">
        <v>12.5</v>
      </c>
      <c r="F1154">
        <v>15.1563</v>
      </c>
    </row>
    <row r="1155" spans="1:6">
      <c r="A1155" s="1" t="s">
        <v>132</v>
      </c>
      <c r="B1155" s="3">
        <v>46174</v>
      </c>
      <c r="C1155">
        <v>37.5</v>
      </c>
      <c r="D1155">
        <v>2.125</v>
      </c>
      <c r="E1155">
        <v>12.5</v>
      </c>
      <c r="F1155">
        <v>14.625</v>
      </c>
    </row>
    <row r="1156" spans="1:6">
      <c r="A1156" s="1" t="s">
        <v>132</v>
      </c>
      <c r="B1156" s="3">
        <v>46357</v>
      </c>
      <c r="C1156">
        <v>25.0</v>
      </c>
      <c r="D1156">
        <v>1.5938</v>
      </c>
      <c r="E1156">
        <v>12.5</v>
      </c>
      <c r="F1156">
        <v>14.0938</v>
      </c>
    </row>
    <row r="1157" spans="1:6">
      <c r="A1157" s="1" t="s">
        <v>132</v>
      </c>
      <c r="B1157" s="3">
        <v>46539</v>
      </c>
      <c r="C1157">
        <v>12.5</v>
      </c>
      <c r="D1157">
        <v>1.0625</v>
      </c>
      <c r="E1157">
        <v>12.5</v>
      </c>
      <c r="F1157">
        <v>13.5625</v>
      </c>
    </row>
    <row r="1158" spans="1:6">
      <c r="A1158" s="1" t="s">
        <v>132</v>
      </c>
      <c r="B1158" s="3">
        <v>46722</v>
      </c>
      <c r="C1158">
        <v>0.0</v>
      </c>
      <c r="D1158">
        <v>0.5313</v>
      </c>
      <c r="E1158">
        <v>12.5</v>
      </c>
      <c r="F1158">
        <v>13.0313</v>
      </c>
    </row>
    <row r="1159" spans="1:6">
      <c r="A1159" s="1" t="s">
        <v>144</v>
      </c>
      <c r="B1159" s="3">
        <v>42857</v>
      </c>
      <c r="C1159">
        <v>100.0</v>
      </c>
      <c r="D1159">
        <v>3.45</v>
      </c>
      <c r="E1159">
        <v>0.0</v>
      </c>
      <c r="F1159">
        <v>3.45</v>
      </c>
    </row>
    <row r="1160" spans="1:6">
      <c r="A1160" s="1" t="s">
        <v>144</v>
      </c>
      <c r="B1160" s="3">
        <v>43040</v>
      </c>
      <c r="C1160">
        <v>100.0</v>
      </c>
      <c r="D1160">
        <v>3.45</v>
      </c>
      <c r="E1160">
        <v>0.0</v>
      </c>
      <c r="F1160">
        <v>3.45</v>
      </c>
    </row>
    <row r="1161" spans="1:6">
      <c r="A1161" s="1" t="s">
        <v>144</v>
      </c>
      <c r="B1161" s="3">
        <v>43222</v>
      </c>
      <c r="C1161">
        <v>100.0</v>
      </c>
      <c r="D1161">
        <v>3.45</v>
      </c>
      <c r="E1161">
        <v>0.0</v>
      </c>
      <c r="F1161">
        <v>3.45</v>
      </c>
    </row>
    <row r="1162" spans="1:6">
      <c r="A1162" s="1" t="s">
        <v>144</v>
      </c>
      <c r="B1162" s="3">
        <v>43405</v>
      </c>
      <c r="C1162">
        <v>100.0</v>
      </c>
      <c r="D1162">
        <v>3.45</v>
      </c>
      <c r="E1162">
        <v>0.0</v>
      </c>
      <c r="F1162">
        <v>3.45</v>
      </c>
    </row>
    <row r="1163" spans="1:6">
      <c r="A1163" s="1" t="s">
        <v>144</v>
      </c>
      <c r="B1163" s="3">
        <v>43587</v>
      </c>
      <c r="C1163">
        <v>100.0</v>
      </c>
      <c r="D1163">
        <v>3.45</v>
      </c>
      <c r="E1163">
        <v>0.0</v>
      </c>
      <c r="F1163">
        <v>3.45</v>
      </c>
    </row>
    <row r="1164" spans="1:6">
      <c r="A1164" s="1" t="s">
        <v>144</v>
      </c>
      <c r="B1164" s="3">
        <v>43770</v>
      </c>
      <c r="C1164">
        <v>100.0</v>
      </c>
      <c r="D1164">
        <v>3.45</v>
      </c>
      <c r="E1164">
        <v>0.0</v>
      </c>
      <c r="F1164">
        <v>3.45</v>
      </c>
    </row>
    <row r="1165" spans="1:6">
      <c r="A1165" s="1" t="s">
        <v>144</v>
      </c>
      <c r="B1165" s="3">
        <v>43955</v>
      </c>
      <c r="C1165">
        <v>100.0</v>
      </c>
      <c r="D1165">
        <v>3.45</v>
      </c>
      <c r="E1165">
        <v>0.0</v>
      </c>
      <c r="F1165">
        <v>3.45</v>
      </c>
    </row>
    <row r="1166" spans="1:6">
      <c r="A1166" s="1" t="s">
        <v>144</v>
      </c>
      <c r="B1166" s="3">
        <v>44137</v>
      </c>
      <c r="C1166">
        <v>100.0</v>
      </c>
      <c r="D1166">
        <v>3.45</v>
      </c>
      <c r="E1166">
        <v>0.0</v>
      </c>
      <c r="F1166">
        <v>3.45</v>
      </c>
    </row>
    <row r="1167" spans="1:6">
      <c r="A1167" s="1" t="s">
        <v>144</v>
      </c>
      <c r="B1167" s="3">
        <v>44319</v>
      </c>
      <c r="C1167">
        <v>100.0</v>
      </c>
      <c r="D1167">
        <v>3.45</v>
      </c>
      <c r="E1167">
        <v>0.0</v>
      </c>
      <c r="F1167">
        <v>3.45</v>
      </c>
    </row>
    <row r="1168" spans="1:6">
      <c r="A1168" s="1" t="s">
        <v>144</v>
      </c>
      <c r="B1168" s="3">
        <v>44501</v>
      </c>
      <c r="C1168">
        <v>100.0</v>
      </c>
      <c r="D1168">
        <v>3.45</v>
      </c>
      <c r="E1168">
        <v>0.0</v>
      </c>
      <c r="F1168">
        <v>3.45</v>
      </c>
    </row>
    <row r="1169" spans="1:6">
      <c r="A1169" s="1" t="s">
        <v>144</v>
      </c>
      <c r="B1169" s="3">
        <v>44683</v>
      </c>
      <c r="C1169">
        <v>100.0</v>
      </c>
      <c r="D1169">
        <v>3.45</v>
      </c>
      <c r="E1169">
        <v>0.0</v>
      </c>
      <c r="F1169">
        <v>3.45</v>
      </c>
    </row>
    <row r="1170" spans="1:6">
      <c r="A1170" s="1" t="s">
        <v>144</v>
      </c>
      <c r="B1170" s="3">
        <v>44866</v>
      </c>
      <c r="C1170">
        <v>100.0</v>
      </c>
      <c r="D1170">
        <v>3.45</v>
      </c>
      <c r="E1170">
        <v>0.0</v>
      </c>
      <c r="F1170">
        <v>3.45</v>
      </c>
    </row>
    <row r="1171" spans="1:6">
      <c r="A1171" s="1" t="s">
        <v>144</v>
      </c>
      <c r="B1171" s="3">
        <v>45048</v>
      </c>
      <c r="C1171">
        <v>100.0</v>
      </c>
      <c r="D1171">
        <v>3.45</v>
      </c>
      <c r="E1171">
        <v>0.0</v>
      </c>
      <c r="F1171">
        <v>3.45</v>
      </c>
    </row>
    <row r="1172" spans="1:6">
      <c r="A1172" s="1" t="s">
        <v>144</v>
      </c>
      <c r="B1172" s="3">
        <v>45231</v>
      </c>
      <c r="C1172">
        <v>100.0</v>
      </c>
      <c r="D1172">
        <v>3.45</v>
      </c>
      <c r="E1172">
        <v>0.0</v>
      </c>
      <c r="F1172">
        <v>3.45</v>
      </c>
    </row>
    <row r="1173" spans="1:6">
      <c r="A1173" s="1" t="s">
        <v>144</v>
      </c>
      <c r="B1173" s="3">
        <v>45414</v>
      </c>
      <c r="C1173">
        <v>100.0</v>
      </c>
      <c r="D1173">
        <v>3.45</v>
      </c>
      <c r="E1173">
        <v>0.0</v>
      </c>
      <c r="F1173">
        <v>3.45</v>
      </c>
    </row>
    <row r="1174" spans="1:6">
      <c r="A1174" s="1" t="s">
        <v>144</v>
      </c>
      <c r="B1174" s="3">
        <v>45597</v>
      </c>
      <c r="C1174">
        <v>100.0</v>
      </c>
      <c r="D1174">
        <v>3.45</v>
      </c>
      <c r="E1174">
        <v>0.0</v>
      </c>
      <c r="F1174">
        <v>3.45</v>
      </c>
    </row>
    <row r="1175" spans="1:6">
      <c r="A1175" s="1" t="s">
        <v>144</v>
      </c>
      <c r="B1175" s="3">
        <v>45782</v>
      </c>
      <c r="C1175">
        <v>100.0</v>
      </c>
      <c r="D1175">
        <v>3.45</v>
      </c>
      <c r="E1175">
        <v>0.0</v>
      </c>
      <c r="F1175">
        <v>3.45</v>
      </c>
    </row>
    <row r="1176" spans="1:6">
      <c r="A1176" s="1" t="s">
        <v>144</v>
      </c>
      <c r="B1176" s="3">
        <v>45964</v>
      </c>
      <c r="C1176">
        <v>66.67</v>
      </c>
      <c r="D1176">
        <v>3.45</v>
      </c>
      <c r="E1176">
        <v>33.33</v>
      </c>
      <c r="F1176">
        <v>36.78</v>
      </c>
    </row>
    <row r="1177" spans="1:6">
      <c r="A1177" s="1" t="s">
        <v>144</v>
      </c>
      <c r="B1177" s="3">
        <v>46146</v>
      </c>
      <c r="C1177">
        <v>66.67</v>
      </c>
      <c r="D1177">
        <v>2.300115</v>
      </c>
      <c r="E1177">
        <v>0.0</v>
      </c>
      <c r="F1177">
        <v>2.300115</v>
      </c>
    </row>
    <row r="1178" spans="1:6">
      <c r="A1178" s="1" t="s">
        <v>144</v>
      </c>
      <c r="B1178" s="3">
        <v>46328</v>
      </c>
      <c r="C1178">
        <v>33.34</v>
      </c>
      <c r="D1178">
        <v>2.300115</v>
      </c>
      <c r="E1178">
        <v>33.33</v>
      </c>
      <c r="F1178">
        <v>35.630115</v>
      </c>
    </row>
    <row r="1179" spans="1:6">
      <c r="A1179" s="1" t="s">
        <v>144</v>
      </c>
      <c r="B1179" s="3">
        <v>46510</v>
      </c>
      <c r="C1179">
        <v>33.34</v>
      </c>
      <c r="D1179">
        <v>1.15023</v>
      </c>
      <c r="E1179">
        <v>0.0</v>
      </c>
      <c r="F1179">
        <v>1.15023</v>
      </c>
    </row>
    <row r="1180" spans="1:6">
      <c r="A1180" s="1" t="s">
        <v>144</v>
      </c>
      <c r="B1180" s="3">
        <v>46692</v>
      </c>
      <c r="C1180">
        <v>0.0</v>
      </c>
      <c r="D1180">
        <v>1.15023</v>
      </c>
      <c r="E1180">
        <v>33.34</v>
      </c>
      <c r="F1180">
        <v>34.49023</v>
      </c>
    </row>
    <row r="1181" spans="1:6">
      <c r="A1181" s="1" t="s">
        <v>164</v>
      </c>
      <c r="B1181" s="3">
        <v>46184</v>
      </c>
      <c r="C1181">
        <v>100.0</v>
      </c>
      <c r="D1181">
        <v>4.05</v>
      </c>
      <c r="E1181">
        <v>0.0</v>
      </c>
      <c r="F1181">
        <v>4.05</v>
      </c>
    </row>
    <row r="1182" spans="1:6">
      <c r="A1182" s="1" t="s">
        <v>164</v>
      </c>
      <c r="B1182" s="3">
        <v>46367</v>
      </c>
      <c r="C1182">
        <v>100.0</v>
      </c>
      <c r="D1182">
        <v>4.05</v>
      </c>
      <c r="E1182">
        <v>0.0</v>
      </c>
      <c r="F1182">
        <v>4.05</v>
      </c>
    </row>
    <row r="1183" spans="1:6">
      <c r="A1183" s="1" t="s">
        <v>164</v>
      </c>
      <c r="B1183" s="3">
        <v>46549</v>
      </c>
      <c r="C1183">
        <v>100.0</v>
      </c>
      <c r="D1183">
        <v>4.05</v>
      </c>
      <c r="E1183">
        <v>0.0</v>
      </c>
      <c r="F1183">
        <v>4.05</v>
      </c>
    </row>
    <row r="1184" spans="1:6">
      <c r="A1184" s="1" t="s">
        <v>164</v>
      </c>
      <c r="B1184" s="3">
        <v>46734</v>
      </c>
      <c r="C1184">
        <v>100.0</v>
      </c>
      <c r="D1184">
        <v>4.05</v>
      </c>
      <c r="E1184">
        <v>0.0</v>
      </c>
      <c r="F1184">
        <v>4.05</v>
      </c>
    </row>
    <row r="1185" spans="1:6">
      <c r="A1185" s="1" t="s">
        <v>164</v>
      </c>
      <c r="B1185" s="3">
        <v>46916</v>
      </c>
      <c r="C1185">
        <v>100.0</v>
      </c>
      <c r="D1185">
        <v>4.05</v>
      </c>
      <c r="E1185">
        <v>0.0</v>
      </c>
      <c r="F1185">
        <v>4.05</v>
      </c>
    </row>
    <row r="1186" spans="1:6">
      <c r="A1186" s="1" t="s">
        <v>164</v>
      </c>
      <c r="B1186" s="3">
        <v>47098</v>
      </c>
      <c r="C1186">
        <v>100.0</v>
      </c>
      <c r="D1186">
        <v>4.05</v>
      </c>
      <c r="E1186">
        <v>0.0</v>
      </c>
      <c r="F1186">
        <v>4.05</v>
      </c>
    </row>
    <row r="1187" spans="1:6">
      <c r="A1187" s="1" t="s">
        <v>164</v>
      </c>
      <c r="B1187" s="3">
        <v>47280</v>
      </c>
      <c r="C1187">
        <v>100.0</v>
      </c>
      <c r="D1187">
        <v>4.05</v>
      </c>
      <c r="E1187">
        <v>0.0</v>
      </c>
      <c r="F1187">
        <v>4.05</v>
      </c>
    </row>
    <row r="1188" spans="1:6">
      <c r="A1188" s="1" t="s">
        <v>164</v>
      </c>
      <c r="B1188" s="3">
        <v>47463</v>
      </c>
      <c r="C1188">
        <v>100.0</v>
      </c>
      <c r="D1188">
        <v>4.05</v>
      </c>
      <c r="E1188">
        <v>0.0</v>
      </c>
      <c r="F1188">
        <v>4.05</v>
      </c>
    </row>
    <row r="1189" spans="1:6">
      <c r="A1189" s="1" t="s">
        <v>164</v>
      </c>
      <c r="B1189" s="3">
        <v>47645</v>
      </c>
      <c r="C1189">
        <v>100.0</v>
      </c>
      <c r="D1189">
        <v>4.05</v>
      </c>
      <c r="E1189">
        <v>0.0</v>
      </c>
      <c r="F1189">
        <v>4.05</v>
      </c>
    </row>
    <row r="1190" spans="1:6">
      <c r="A1190" s="1" t="s">
        <v>164</v>
      </c>
      <c r="B1190" s="3">
        <v>47828</v>
      </c>
      <c r="C1190">
        <v>100.0</v>
      </c>
      <c r="D1190">
        <v>4.05</v>
      </c>
      <c r="E1190">
        <v>0.0</v>
      </c>
      <c r="F1190">
        <v>4.05</v>
      </c>
    </row>
    <row r="1191" spans="1:6">
      <c r="A1191" s="1" t="s">
        <v>164</v>
      </c>
      <c r="B1191" s="3">
        <v>48010</v>
      </c>
      <c r="C1191">
        <v>100.0</v>
      </c>
      <c r="D1191">
        <v>4.05</v>
      </c>
      <c r="E1191">
        <v>0.0</v>
      </c>
      <c r="F1191">
        <v>4.05</v>
      </c>
    </row>
    <row r="1192" spans="1:6">
      <c r="A1192" s="1" t="s">
        <v>164</v>
      </c>
      <c r="B1192" s="3">
        <v>48193</v>
      </c>
      <c r="C1192">
        <v>75.0</v>
      </c>
      <c r="D1192">
        <v>4.05</v>
      </c>
      <c r="E1192">
        <v>25.0</v>
      </c>
      <c r="F1192">
        <v>29.05</v>
      </c>
    </row>
    <row r="1193" spans="1:6">
      <c r="A1193" s="1" t="s">
        <v>164</v>
      </c>
      <c r="B1193" s="3">
        <v>48376</v>
      </c>
      <c r="C1193">
        <v>75.0</v>
      </c>
      <c r="D1193">
        <v>3.0375</v>
      </c>
      <c r="E1193">
        <v>0.0</v>
      </c>
      <c r="F1193">
        <v>3.0375</v>
      </c>
    </row>
    <row r="1194" spans="1:6">
      <c r="A1194" s="1" t="s">
        <v>164</v>
      </c>
      <c r="B1194" s="3">
        <v>48561</v>
      </c>
      <c r="C1194">
        <v>50.0</v>
      </c>
      <c r="D1194">
        <v>3.0375</v>
      </c>
      <c r="E1194">
        <v>25.0</v>
      </c>
      <c r="F1194">
        <v>28.0375</v>
      </c>
    </row>
    <row r="1195" spans="1:6">
      <c r="A1195" s="1" t="s">
        <v>164</v>
      </c>
      <c r="B1195" s="3">
        <v>48743</v>
      </c>
      <c r="C1195">
        <v>50.0</v>
      </c>
      <c r="D1195">
        <v>2.025</v>
      </c>
      <c r="E1195">
        <v>0.0</v>
      </c>
      <c r="F1195">
        <v>2.025</v>
      </c>
    </row>
    <row r="1196" spans="1:6">
      <c r="A1196" s="1" t="s">
        <v>164</v>
      </c>
      <c r="B1196" s="3">
        <v>48925</v>
      </c>
      <c r="C1196">
        <v>25.0</v>
      </c>
      <c r="D1196">
        <v>2.025</v>
      </c>
      <c r="E1196">
        <v>25.0</v>
      </c>
      <c r="F1196">
        <v>27.025</v>
      </c>
    </row>
    <row r="1197" spans="1:6">
      <c r="A1197" s="1" t="s">
        <v>164</v>
      </c>
      <c r="B1197" s="3">
        <v>49107</v>
      </c>
      <c r="C1197">
        <v>25.0</v>
      </c>
      <c r="D1197">
        <v>1.0125</v>
      </c>
      <c r="E1197">
        <v>0.0</v>
      </c>
      <c r="F1197">
        <v>1.0125</v>
      </c>
    </row>
    <row r="1198" spans="1:6">
      <c r="A1198" s="1" t="s">
        <v>164</v>
      </c>
      <c r="B1198" s="3">
        <v>49289</v>
      </c>
      <c r="C1198">
        <v>0.0</v>
      </c>
      <c r="D1198">
        <v>1.0125</v>
      </c>
      <c r="E1198">
        <v>25.0</v>
      </c>
      <c r="F1198">
        <v>26.0125</v>
      </c>
    </row>
    <row r="1199" spans="1:6">
      <c r="A1199" s="1" t="s">
        <v>443</v>
      </c>
      <c r="B1199" s="3">
        <v>46160</v>
      </c>
      <c r="C1199">
        <v>100.0</v>
      </c>
      <c r="D1199">
        <v>2.011644</v>
      </c>
      <c r="E1199">
        <v>0.0</v>
      </c>
      <c r="F1199">
        <v>2.011644</v>
      </c>
    </row>
    <row r="1200" spans="1:6">
      <c r="A1200" s="1" t="s">
        <v>443</v>
      </c>
      <c r="B1200" s="3">
        <v>46252</v>
      </c>
      <c r="C1200">
        <v>100.0</v>
      </c>
      <c r="D1200">
        <v>2.079452</v>
      </c>
      <c r="E1200">
        <v>0.0</v>
      </c>
      <c r="F1200">
        <v>2.079452</v>
      </c>
    </row>
    <row r="1201" spans="1:6">
      <c r="A1201" s="1" t="s">
        <v>443</v>
      </c>
      <c r="B1201" s="3">
        <v>46344</v>
      </c>
      <c r="C1201">
        <v>100.0</v>
      </c>
      <c r="D1201">
        <v>2.079452</v>
      </c>
      <c r="E1201">
        <v>0.0</v>
      </c>
      <c r="F1201">
        <v>2.079452</v>
      </c>
    </row>
    <row r="1202" spans="1:6">
      <c r="A1202" s="1" t="s">
        <v>443</v>
      </c>
      <c r="B1202" s="3">
        <v>46436</v>
      </c>
      <c r="C1202">
        <v>0.0</v>
      </c>
      <c r="D1202">
        <v>2.079452</v>
      </c>
      <c r="E1202">
        <v>100.0</v>
      </c>
      <c r="F1202">
        <v>102.079452</v>
      </c>
    </row>
    <row r="1203" spans="1:6">
      <c r="A1203" s="1" t="s">
        <v>290</v>
      </c>
      <c r="B1203" s="3">
        <v>46079</v>
      </c>
      <c r="C1203">
        <v>100.0</v>
      </c>
      <c r="D1203">
        <v>1.638356</v>
      </c>
      <c r="E1203">
        <v>0.0</v>
      </c>
      <c r="F1203">
        <v>1.638356</v>
      </c>
    </row>
    <row r="1204" spans="1:6">
      <c r="A1204" s="1" t="s">
        <v>290</v>
      </c>
      <c r="B1204" s="3">
        <v>46168</v>
      </c>
      <c r="C1204">
        <v>100.0</v>
      </c>
      <c r="D1204">
        <v>1.584932</v>
      </c>
      <c r="E1204">
        <v>0.0</v>
      </c>
      <c r="F1204">
        <v>1.584932</v>
      </c>
    </row>
    <row r="1205" spans="1:6">
      <c r="A1205" s="1" t="s">
        <v>290</v>
      </c>
      <c r="B1205" s="3">
        <v>46265</v>
      </c>
      <c r="C1205">
        <v>0.0</v>
      </c>
      <c r="D1205">
        <v>1.727397</v>
      </c>
      <c r="E1205">
        <v>100.0</v>
      </c>
      <c r="F1205">
        <v>101.727397</v>
      </c>
    </row>
    <row r="1206" spans="1:6">
      <c r="A1206" s="1" t="s">
        <v>156</v>
      </c>
      <c r="B1206" s="3">
        <v>42933</v>
      </c>
      <c r="C1206">
        <v>100.0</v>
      </c>
      <c r="D1206">
        <v>2.2375</v>
      </c>
      <c r="E1206">
        <v>0.0</v>
      </c>
      <c r="F1206">
        <v>2.2375</v>
      </c>
    </row>
    <row r="1207" spans="1:6">
      <c r="A1207" s="1" t="s">
        <v>156</v>
      </c>
      <c r="B1207" s="3">
        <v>43025</v>
      </c>
      <c r="C1207">
        <v>100.0</v>
      </c>
      <c r="D1207">
        <v>2.2375</v>
      </c>
      <c r="E1207">
        <v>0.0</v>
      </c>
      <c r="F1207">
        <v>2.2375</v>
      </c>
    </row>
    <row r="1208" spans="1:6">
      <c r="A1208" s="1" t="s">
        <v>156</v>
      </c>
      <c r="B1208" s="3">
        <v>43117</v>
      </c>
      <c r="C1208">
        <v>100.0</v>
      </c>
      <c r="D1208">
        <v>2.2375</v>
      </c>
      <c r="E1208">
        <v>0.0</v>
      </c>
      <c r="F1208">
        <v>2.2375</v>
      </c>
    </row>
    <row r="1209" spans="1:6">
      <c r="A1209" s="1" t="s">
        <v>156</v>
      </c>
      <c r="B1209" s="3">
        <v>43207</v>
      </c>
      <c r="C1209">
        <v>100.0</v>
      </c>
      <c r="D1209">
        <v>2.2375</v>
      </c>
      <c r="E1209">
        <v>0.0</v>
      </c>
      <c r="F1209">
        <v>2.2375</v>
      </c>
    </row>
    <row r="1210" spans="1:6">
      <c r="A1210" s="1" t="s">
        <v>156</v>
      </c>
      <c r="B1210" s="3">
        <v>43298</v>
      </c>
      <c r="C1210">
        <v>100.0</v>
      </c>
      <c r="D1210">
        <v>2.2375</v>
      </c>
      <c r="E1210">
        <v>0.0</v>
      </c>
      <c r="F1210">
        <v>2.2375</v>
      </c>
    </row>
    <row r="1211" spans="1:6">
      <c r="A1211" s="1" t="s">
        <v>156</v>
      </c>
      <c r="B1211" s="3">
        <v>43390</v>
      </c>
      <c r="C1211">
        <v>100.0</v>
      </c>
      <c r="D1211">
        <v>2.2375</v>
      </c>
      <c r="E1211">
        <v>0.0</v>
      </c>
      <c r="F1211">
        <v>2.2375</v>
      </c>
    </row>
    <row r="1212" spans="1:6">
      <c r="A1212" s="1" t="s">
        <v>156</v>
      </c>
      <c r="B1212" s="3">
        <v>43482</v>
      </c>
      <c r="C1212">
        <v>100.0</v>
      </c>
      <c r="D1212">
        <v>2.2375</v>
      </c>
      <c r="E1212">
        <v>0.0</v>
      </c>
      <c r="F1212">
        <v>2.2375</v>
      </c>
    </row>
    <row r="1213" spans="1:6">
      <c r="A1213" s="1" t="s">
        <v>156</v>
      </c>
      <c r="B1213" s="3">
        <v>43572</v>
      </c>
      <c r="C1213">
        <v>97.5</v>
      </c>
      <c r="D1213">
        <v>2.2375</v>
      </c>
      <c r="E1213">
        <v>2.5</v>
      </c>
      <c r="F1213">
        <v>4.7375</v>
      </c>
    </row>
    <row r="1214" spans="1:6">
      <c r="A1214" s="1" t="s">
        <v>156</v>
      </c>
      <c r="B1214" s="3">
        <v>43663</v>
      </c>
      <c r="C1214">
        <v>95.0</v>
      </c>
      <c r="D1214">
        <v>2.181562</v>
      </c>
      <c r="E1214">
        <v>2.5</v>
      </c>
      <c r="F1214">
        <v>4.681563</v>
      </c>
    </row>
    <row r="1215" spans="1:6">
      <c r="A1215" s="1" t="s">
        <v>156</v>
      </c>
      <c r="B1215" s="3">
        <v>43755</v>
      </c>
      <c r="C1215">
        <v>92.5</v>
      </c>
      <c r="D1215">
        <v>2.125625</v>
      </c>
      <c r="E1215">
        <v>2.5</v>
      </c>
      <c r="F1215">
        <v>4.625625</v>
      </c>
    </row>
    <row r="1216" spans="1:6">
      <c r="A1216" s="1" t="s">
        <v>156</v>
      </c>
      <c r="B1216" s="3">
        <v>43847</v>
      </c>
      <c r="C1216">
        <v>90.0</v>
      </c>
      <c r="D1216">
        <v>2.069688</v>
      </c>
      <c r="E1216">
        <v>2.5</v>
      </c>
      <c r="F1216">
        <v>4.569688</v>
      </c>
    </row>
    <row r="1217" spans="1:6">
      <c r="A1217" s="1" t="s">
        <v>156</v>
      </c>
      <c r="B1217" s="3">
        <v>43938</v>
      </c>
      <c r="C1217">
        <v>87.5</v>
      </c>
      <c r="D1217">
        <v>2.01375</v>
      </c>
      <c r="E1217">
        <v>2.5</v>
      </c>
      <c r="F1217">
        <v>4.51375</v>
      </c>
    </row>
    <row r="1218" spans="1:6">
      <c r="A1218" s="1" t="s">
        <v>156</v>
      </c>
      <c r="B1218" s="3">
        <v>44029</v>
      </c>
      <c r="C1218">
        <v>85.0</v>
      </c>
      <c r="D1218">
        <v>1.957812</v>
      </c>
      <c r="E1218">
        <v>2.5</v>
      </c>
      <c r="F1218">
        <v>4.457812</v>
      </c>
    </row>
    <row r="1219" spans="1:6">
      <c r="A1219" s="1" t="s">
        <v>156</v>
      </c>
      <c r="B1219" s="3">
        <v>44123</v>
      </c>
      <c r="C1219">
        <v>82.5</v>
      </c>
      <c r="D1219">
        <v>1.901875</v>
      </c>
      <c r="E1219">
        <v>2.5</v>
      </c>
      <c r="F1219">
        <v>4.401875</v>
      </c>
    </row>
    <row r="1220" spans="1:6">
      <c r="A1220" s="1" t="s">
        <v>156</v>
      </c>
      <c r="B1220" s="3">
        <v>44214</v>
      </c>
      <c r="C1220">
        <v>80.0</v>
      </c>
      <c r="D1220">
        <v>1.845937</v>
      </c>
      <c r="E1220">
        <v>2.5</v>
      </c>
      <c r="F1220">
        <v>4.345937</v>
      </c>
    </row>
    <row r="1221" spans="1:6">
      <c r="A1221" s="1" t="s">
        <v>156</v>
      </c>
      <c r="B1221" s="3">
        <v>44305</v>
      </c>
      <c r="C1221">
        <v>77.5</v>
      </c>
      <c r="D1221">
        <v>1.79</v>
      </c>
      <c r="E1221">
        <v>2.5</v>
      </c>
      <c r="F1221">
        <v>4.29</v>
      </c>
    </row>
    <row r="1222" spans="1:6">
      <c r="A1222" s="1" t="s">
        <v>156</v>
      </c>
      <c r="B1222" s="3">
        <v>44396</v>
      </c>
      <c r="C1222">
        <v>75.0</v>
      </c>
      <c r="D1222">
        <v>1.734062</v>
      </c>
      <c r="E1222">
        <v>2.5</v>
      </c>
      <c r="F1222">
        <v>4.234063</v>
      </c>
    </row>
    <row r="1223" spans="1:6">
      <c r="A1223" s="1" t="s">
        <v>156</v>
      </c>
      <c r="B1223" s="3">
        <v>44487</v>
      </c>
      <c r="C1223">
        <v>72.5</v>
      </c>
      <c r="D1223">
        <v>1.678125</v>
      </c>
      <c r="E1223">
        <v>2.5</v>
      </c>
      <c r="F1223">
        <v>4.178125</v>
      </c>
    </row>
    <row r="1224" spans="1:6">
      <c r="A1224" s="1" t="s">
        <v>156</v>
      </c>
      <c r="B1224" s="3">
        <v>44578</v>
      </c>
      <c r="C1224">
        <v>70.0</v>
      </c>
      <c r="D1224">
        <v>1.622188</v>
      </c>
      <c r="E1224">
        <v>2.5</v>
      </c>
      <c r="F1224">
        <v>4.122187</v>
      </c>
    </row>
    <row r="1225" spans="1:6">
      <c r="A1225" s="1" t="s">
        <v>156</v>
      </c>
      <c r="B1225" s="3">
        <v>44669</v>
      </c>
      <c r="C1225">
        <v>67.0</v>
      </c>
      <c r="D1225">
        <v>1.56625</v>
      </c>
      <c r="E1225">
        <v>3.0</v>
      </c>
      <c r="F1225">
        <v>4.56625</v>
      </c>
    </row>
    <row r="1226" spans="1:6">
      <c r="A1226" s="1" t="s">
        <v>156</v>
      </c>
      <c r="B1226" s="3">
        <v>44760</v>
      </c>
      <c r="C1226">
        <v>64.0</v>
      </c>
      <c r="D1226">
        <v>1.499125</v>
      </c>
      <c r="E1226">
        <v>3.0</v>
      </c>
      <c r="F1226">
        <v>4.499125</v>
      </c>
    </row>
    <row r="1227" spans="1:6">
      <c r="A1227" s="1" t="s">
        <v>156</v>
      </c>
      <c r="B1227" s="3">
        <v>44851</v>
      </c>
      <c r="C1227">
        <v>61.0</v>
      </c>
      <c r="D1227">
        <v>1.432</v>
      </c>
      <c r="E1227">
        <v>3.0</v>
      </c>
      <c r="F1227">
        <v>4.432</v>
      </c>
    </row>
    <row r="1228" spans="1:6">
      <c r="A1228" s="1" t="s">
        <v>156</v>
      </c>
      <c r="B1228" s="3">
        <v>44943</v>
      </c>
      <c r="C1228">
        <v>58.0</v>
      </c>
      <c r="D1228">
        <v>1.364875</v>
      </c>
      <c r="E1228">
        <v>3.0</v>
      </c>
      <c r="F1228">
        <v>4.364875</v>
      </c>
    </row>
    <row r="1229" spans="1:6">
      <c r="A1229" s="1" t="s">
        <v>156</v>
      </c>
      <c r="B1229" s="3">
        <v>45033</v>
      </c>
      <c r="C1229">
        <v>55.0</v>
      </c>
      <c r="D1229">
        <v>1.29775</v>
      </c>
      <c r="E1229">
        <v>3.0</v>
      </c>
      <c r="F1229">
        <v>4.29775</v>
      </c>
    </row>
    <row r="1230" spans="1:6">
      <c r="A1230" s="1" t="s">
        <v>156</v>
      </c>
      <c r="B1230" s="3">
        <v>45124</v>
      </c>
      <c r="C1230">
        <v>52.0</v>
      </c>
      <c r="D1230">
        <v>1.230625</v>
      </c>
      <c r="E1230">
        <v>3.0</v>
      </c>
      <c r="F1230">
        <v>4.230625</v>
      </c>
    </row>
    <row r="1231" spans="1:6">
      <c r="A1231" s="1" t="s">
        <v>156</v>
      </c>
      <c r="B1231" s="3">
        <v>45216</v>
      </c>
      <c r="C1231">
        <v>49.0</v>
      </c>
      <c r="D1231">
        <v>1.1635</v>
      </c>
      <c r="E1231">
        <v>3.0</v>
      </c>
      <c r="F1231">
        <v>4.1635</v>
      </c>
    </row>
    <row r="1232" spans="1:6">
      <c r="A1232" s="1" t="s">
        <v>156</v>
      </c>
      <c r="B1232" s="3">
        <v>45313</v>
      </c>
      <c r="C1232">
        <v>49.0</v>
      </c>
      <c r="D1232">
        <v>1.145103</v>
      </c>
      <c r="E1232">
        <v>0.0</v>
      </c>
      <c r="F1232">
        <v>1.145103</v>
      </c>
    </row>
    <row r="1233" spans="1:6">
      <c r="A1233" s="1" t="s">
        <v>156</v>
      </c>
      <c r="B1233" s="3">
        <v>45404</v>
      </c>
      <c r="C1233">
        <v>49.0</v>
      </c>
      <c r="D1233">
        <v>1.096375</v>
      </c>
      <c r="E1233">
        <v>0.0</v>
      </c>
      <c r="F1233">
        <v>1.096375</v>
      </c>
    </row>
    <row r="1234" spans="1:6">
      <c r="A1234" s="1" t="s">
        <v>156</v>
      </c>
      <c r="B1234" s="3">
        <v>45495</v>
      </c>
      <c r="C1234">
        <v>49.0</v>
      </c>
      <c r="D1234">
        <v>1.096375</v>
      </c>
      <c r="E1234">
        <v>0.0</v>
      </c>
      <c r="F1234">
        <v>1.096375</v>
      </c>
    </row>
    <row r="1235" spans="1:6">
      <c r="A1235" s="1" t="s">
        <v>156</v>
      </c>
      <c r="B1235" s="3">
        <v>45586</v>
      </c>
      <c r="C1235">
        <v>49.0</v>
      </c>
      <c r="D1235">
        <v>1.096375</v>
      </c>
      <c r="E1235">
        <v>0.0</v>
      </c>
      <c r="F1235">
        <v>1.096375</v>
      </c>
    </row>
    <row r="1236" spans="1:6">
      <c r="A1236" s="1" t="s">
        <v>156</v>
      </c>
      <c r="B1236" s="3">
        <v>45678</v>
      </c>
      <c r="C1236">
        <v>49.0</v>
      </c>
      <c r="D1236">
        <v>1.096375</v>
      </c>
      <c r="E1236">
        <v>0.0</v>
      </c>
      <c r="F1236">
        <v>1.096375</v>
      </c>
    </row>
    <row r="1237" spans="1:6">
      <c r="A1237" s="1" t="s">
        <v>156</v>
      </c>
      <c r="B1237" s="3">
        <v>45768</v>
      </c>
      <c r="C1237">
        <v>47.04</v>
      </c>
      <c r="D1237">
        <v>1.096375</v>
      </c>
      <c r="E1237">
        <v>1.96</v>
      </c>
      <c r="F1237">
        <v>3.056375</v>
      </c>
    </row>
    <row r="1238" spans="1:6">
      <c r="A1238" s="1" t="s">
        <v>156</v>
      </c>
      <c r="B1238" s="3">
        <v>45859</v>
      </c>
      <c r="C1238">
        <v>45.08</v>
      </c>
      <c r="D1238">
        <v>1.05252</v>
      </c>
      <c r="E1238">
        <v>1.96</v>
      </c>
      <c r="F1238">
        <v>3.01252</v>
      </c>
    </row>
    <row r="1239" spans="1:6">
      <c r="A1239" s="1" t="s">
        <v>156</v>
      </c>
      <c r="B1239" s="3">
        <v>45951</v>
      </c>
      <c r="C1239">
        <v>43.12</v>
      </c>
      <c r="D1239">
        <v>1.008665</v>
      </c>
      <c r="E1239">
        <v>1.96</v>
      </c>
      <c r="F1239">
        <v>2.968665</v>
      </c>
    </row>
    <row r="1240" spans="1:6">
      <c r="A1240" s="1" t="s">
        <v>156</v>
      </c>
      <c r="B1240" s="3">
        <v>46043</v>
      </c>
      <c r="C1240">
        <v>41.16</v>
      </c>
      <c r="D1240">
        <v>0.96481</v>
      </c>
      <c r="E1240">
        <v>1.96</v>
      </c>
      <c r="F1240">
        <v>2.92481</v>
      </c>
    </row>
    <row r="1241" spans="1:6">
      <c r="A1241" s="1" t="s">
        <v>156</v>
      </c>
      <c r="B1241" s="3">
        <v>46133</v>
      </c>
      <c r="C1241">
        <v>38.71</v>
      </c>
      <c r="D1241">
        <v>0.920955</v>
      </c>
      <c r="E1241">
        <v>2.45</v>
      </c>
      <c r="F1241">
        <v>3.370955</v>
      </c>
    </row>
    <row r="1242" spans="1:6">
      <c r="A1242" s="1" t="s">
        <v>156</v>
      </c>
      <c r="B1242" s="3">
        <v>46224</v>
      </c>
      <c r="C1242">
        <v>36.26</v>
      </c>
      <c r="D1242">
        <v>0.866136</v>
      </c>
      <c r="E1242">
        <v>2.45</v>
      </c>
      <c r="F1242">
        <v>3.316136</v>
      </c>
    </row>
    <row r="1243" spans="1:6">
      <c r="A1243" s="1" t="s">
        <v>156</v>
      </c>
      <c r="B1243" s="3">
        <v>46316</v>
      </c>
      <c r="C1243">
        <v>33.81</v>
      </c>
      <c r="D1243">
        <v>0.811317</v>
      </c>
      <c r="E1243">
        <v>2.45</v>
      </c>
      <c r="F1243">
        <v>3.261318</v>
      </c>
    </row>
    <row r="1244" spans="1:6">
      <c r="A1244" s="1" t="s">
        <v>156</v>
      </c>
      <c r="B1244" s="3">
        <v>46408</v>
      </c>
      <c r="C1244">
        <v>31.36</v>
      </c>
      <c r="D1244">
        <v>0.756499</v>
      </c>
      <c r="E1244">
        <v>2.45</v>
      </c>
      <c r="F1244">
        <v>3.206499</v>
      </c>
    </row>
    <row r="1245" spans="1:6">
      <c r="A1245" s="1" t="s">
        <v>156</v>
      </c>
      <c r="B1245" s="3">
        <v>46498</v>
      </c>
      <c r="C1245">
        <v>28.91</v>
      </c>
      <c r="D1245">
        <v>0.70168</v>
      </c>
      <c r="E1245">
        <v>2.45</v>
      </c>
      <c r="F1245">
        <v>3.15168</v>
      </c>
    </row>
    <row r="1246" spans="1:6">
      <c r="A1246" s="1" t="s">
        <v>156</v>
      </c>
      <c r="B1246" s="3">
        <v>46589</v>
      </c>
      <c r="C1246">
        <v>26.46</v>
      </c>
      <c r="D1246">
        <v>0.646861</v>
      </c>
      <c r="E1246">
        <v>2.45</v>
      </c>
      <c r="F1246">
        <v>3.096861</v>
      </c>
    </row>
    <row r="1247" spans="1:6">
      <c r="A1247" s="1" t="s">
        <v>156</v>
      </c>
      <c r="B1247" s="3">
        <v>46681</v>
      </c>
      <c r="C1247">
        <v>24.01</v>
      </c>
      <c r="D1247">
        <v>0.592043</v>
      </c>
      <c r="E1247">
        <v>2.45</v>
      </c>
      <c r="F1247">
        <v>3.042042</v>
      </c>
    </row>
    <row r="1248" spans="1:6">
      <c r="A1248" s="1" t="s">
        <v>156</v>
      </c>
      <c r="B1248" s="3">
        <v>46773</v>
      </c>
      <c r="C1248">
        <v>21.56</v>
      </c>
      <c r="D1248">
        <v>0.537224</v>
      </c>
      <c r="E1248">
        <v>2.45</v>
      </c>
      <c r="F1248">
        <v>2.987224</v>
      </c>
    </row>
    <row r="1249" spans="1:6">
      <c r="A1249" s="1" t="s">
        <v>156</v>
      </c>
      <c r="B1249" s="3">
        <v>46864</v>
      </c>
      <c r="C1249">
        <v>18.865</v>
      </c>
      <c r="D1249">
        <v>0.482405</v>
      </c>
      <c r="E1249">
        <v>2.695</v>
      </c>
      <c r="F1249">
        <v>3.177405</v>
      </c>
    </row>
    <row r="1250" spans="1:6">
      <c r="A1250" s="1" t="s">
        <v>156</v>
      </c>
      <c r="B1250" s="3">
        <v>46955</v>
      </c>
      <c r="C1250">
        <v>16.17</v>
      </c>
      <c r="D1250">
        <v>0.422104</v>
      </c>
      <c r="E1250">
        <v>2.695</v>
      </c>
      <c r="F1250">
        <v>3.117104</v>
      </c>
    </row>
    <row r="1251" spans="1:6">
      <c r="A1251" s="1" t="s">
        <v>156</v>
      </c>
      <c r="B1251" s="3">
        <v>47049</v>
      </c>
      <c r="C1251">
        <v>13.475</v>
      </c>
      <c r="D1251">
        <v>0.361804</v>
      </c>
      <c r="E1251">
        <v>2.695</v>
      </c>
      <c r="F1251">
        <v>3.056804</v>
      </c>
    </row>
    <row r="1252" spans="1:6">
      <c r="A1252" s="1" t="s">
        <v>156</v>
      </c>
      <c r="B1252" s="3">
        <v>47140</v>
      </c>
      <c r="C1252">
        <v>10.78</v>
      </c>
      <c r="D1252">
        <v>0.301503</v>
      </c>
      <c r="E1252">
        <v>2.695</v>
      </c>
      <c r="F1252">
        <v>2.996503</v>
      </c>
    </row>
    <row r="1253" spans="1:6">
      <c r="A1253" s="1" t="s">
        <v>156</v>
      </c>
      <c r="B1253" s="3">
        <v>47231</v>
      </c>
      <c r="C1253">
        <v>8.085</v>
      </c>
      <c r="D1253">
        <v>0.241202</v>
      </c>
      <c r="E1253">
        <v>2.695</v>
      </c>
      <c r="F1253">
        <v>2.936203</v>
      </c>
    </row>
    <row r="1254" spans="1:6">
      <c r="A1254" s="1" t="s">
        <v>156</v>
      </c>
      <c r="B1254" s="3">
        <v>47322</v>
      </c>
      <c r="C1254">
        <v>5.39</v>
      </c>
      <c r="D1254">
        <v>0.180902</v>
      </c>
      <c r="E1254">
        <v>2.695</v>
      </c>
      <c r="F1254">
        <v>2.875902</v>
      </c>
    </row>
    <row r="1255" spans="1:6">
      <c r="A1255" s="1" t="s">
        <v>156</v>
      </c>
      <c r="B1255" s="3">
        <v>47413</v>
      </c>
      <c r="C1255">
        <v>2.695</v>
      </c>
      <c r="D1255">
        <v>0.120601</v>
      </c>
      <c r="E1255">
        <v>2.695</v>
      </c>
      <c r="F1255">
        <v>2.815601</v>
      </c>
    </row>
    <row r="1256" spans="1:6">
      <c r="A1256" s="1" t="s">
        <v>156</v>
      </c>
      <c r="B1256" s="3">
        <v>47504</v>
      </c>
      <c r="C1256">
        <v>0.0</v>
      </c>
      <c r="D1256">
        <v>0.060301</v>
      </c>
      <c r="E1256">
        <v>2.695</v>
      </c>
      <c r="F1256">
        <v>2.755301</v>
      </c>
    </row>
    <row r="1257" spans="1:6">
      <c r="A1257" s="1" t="s">
        <v>214</v>
      </c>
      <c r="B1257" s="3">
        <v>45677</v>
      </c>
      <c r="C1257">
        <v>100.0</v>
      </c>
      <c r="D1257">
        <v>4.75</v>
      </c>
      <c r="E1257">
        <v>0.0</v>
      </c>
      <c r="F1257">
        <v>4.75</v>
      </c>
    </row>
    <row r="1258" spans="1:6">
      <c r="A1258" s="1" t="s">
        <v>214</v>
      </c>
      <c r="B1258" s="3">
        <v>45856</v>
      </c>
      <c r="C1258">
        <v>100.0</v>
      </c>
      <c r="D1258">
        <v>4.75</v>
      </c>
      <c r="E1258">
        <v>0.0</v>
      </c>
      <c r="F1258">
        <v>4.75</v>
      </c>
    </row>
    <row r="1259" spans="1:6">
      <c r="A1259" s="1" t="s">
        <v>214</v>
      </c>
      <c r="B1259" s="3">
        <v>46041</v>
      </c>
      <c r="C1259">
        <v>100.0</v>
      </c>
      <c r="D1259">
        <v>4.75</v>
      </c>
      <c r="E1259">
        <v>0.0</v>
      </c>
      <c r="F1259">
        <v>4.75</v>
      </c>
    </row>
    <row r="1260" spans="1:6">
      <c r="A1260" s="1" t="s">
        <v>214</v>
      </c>
      <c r="B1260" s="3">
        <v>46223</v>
      </c>
      <c r="C1260">
        <v>100.0</v>
      </c>
      <c r="D1260">
        <v>4.75</v>
      </c>
      <c r="E1260">
        <v>0.0</v>
      </c>
      <c r="F1260">
        <v>4.75</v>
      </c>
    </row>
    <row r="1261" spans="1:6">
      <c r="A1261" s="1" t="s">
        <v>214</v>
      </c>
      <c r="B1261" s="3">
        <v>46405</v>
      </c>
      <c r="C1261">
        <v>100.0</v>
      </c>
      <c r="D1261">
        <v>4.75</v>
      </c>
      <c r="E1261">
        <v>0.0</v>
      </c>
      <c r="F1261">
        <v>4.75</v>
      </c>
    </row>
    <row r="1262" spans="1:6">
      <c r="A1262" s="1" t="s">
        <v>214</v>
      </c>
      <c r="B1262" s="3">
        <v>46587</v>
      </c>
      <c r="C1262">
        <v>100.0</v>
      </c>
      <c r="D1262">
        <v>4.75</v>
      </c>
      <c r="E1262">
        <v>0.0</v>
      </c>
      <c r="F1262">
        <v>4.75</v>
      </c>
    </row>
    <row r="1263" spans="1:6">
      <c r="A1263" s="1" t="s">
        <v>214</v>
      </c>
      <c r="B1263" s="3">
        <v>46770</v>
      </c>
      <c r="C1263">
        <v>100.0</v>
      </c>
      <c r="D1263">
        <v>4.75</v>
      </c>
      <c r="E1263">
        <v>0.0</v>
      </c>
      <c r="F1263">
        <v>4.75</v>
      </c>
    </row>
    <row r="1264" spans="1:6">
      <c r="A1264" s="1" t="s">
        <v>214</v>
      </c>
      <c r="B1264" s="3">
        <v>46952</v>
      </c>
      <c r="C1264">
        <v>100.0</v>
      </c>
      <c r="D1264">
        <v>4.75</v>
      </c>
      <c r="E1264">
        <v>0.0</v>
      </c>
      <c r="F1264">
        <v>4.75</v>
      </c>
    </row>
    <row r="1265" spans="1:6">
      <c r="A1265" s="1" t="s">
        <v>214</v>
      </c>
      <c r="B1265" s="3">
        <v>47136</v>
      </c>
      <c r="C1265">
        <v>100.0</v>
      </c>
      <c r="D1265">
        <v>4.75</v>
      </c>
      <c r="E1265">
        <v>0.0</v>
      </c>
      <c r="F1265">
        <v>4.75</v>
      </c>
    </row>
    <row r="1266" spans="1:6">
      <c r="A1266" s="1" t="s">
        <v>214</v>
      </c>
      <c r="B1266" s="3">
        <v>47317</v>
      </c>
      <c r="C1266">
        <v>67.0</v>
      </c>
      <c r="D1266">
        <v>4.75</v>
      </c>
      <c r="E1266">
        <v>33.0</v>
      </c>
      <c r="F1266">
        <v>37.75</v>
      </c>
    </row>
    <row r="1267" spans="1:6">
      <c r="A1267" s="1" t="s">
        <v>214</v>
      </c>
      <c r="B1267" s="3">
        <v>47501</v>
      </c>
      <c r="C1267">
        <v>67.0</v>
      </c>
      <c r="D1267">
        <v>3.1825</v>
      </c>
      <c r="E1267">
        <v>0.0</v>
      </c>
      <c r="F1267">
        <v>3.1825</v>
      </c>
    </row>
    <row r="1268" spans="1:6">
      <c r="A1268" s="1" t="s">
        <v>214</v>
      </c>
      <c r="B1268" s="3">
        <v>47682</v>
      </c>
      <c r="C1268">
        <v>34.0</v>
      </c>
      <c r="D1268">
        <v>3.1825</v>
      </c>
      <c r="E1268">
        <v>33.0</v>
      </c>
      <c r="F1268">
        <v>36.1825</v>
      </c>
    </row>
    <row r="1269" spans="1:6">
      <c r="A1269" s="1" t="s">
        <v>214</v>
      </c>
      <c r="B1269" s="3">
        <v>47868</v>
      </c>
      <c r="C1269">
        <v>34.0</v>
      </c>
      <c r="D1269">
        <v>1.615</v>
      </c>
      <c r="E1269">
        <v>0.0</v>
      </c>
      <c r="F1269">
        <v>1.615</v>
      </c>
    </row>
    <row r="1270" spans="1:6">
      <c r="A1270" s="1" t="s">
        <v>214</v>
      </c>
      <c r="B1270" s="3">
        <v>48047</v>
      </c>
      <c r="C1270">
        <v>0.0</v>
      </c>
      <c r="D1270">
        <v>1.615</v>
      </c>
      <c r="E1270">
        <v>34.0</v>
      </c>
      <c r="F1270">
        <v>35.615</v>
      </c>
    </row>
    <row r="1271" spans="1:6">
      <c r="A1271" s="1" t="s">
        <v>88</v>
      </c>
      <c r="B1271" s="3">
        <v>45805</v>
      </c>
      <c r="C1271">
        <v>100.0</v>
      </c>
      <c r="D1271">
        <v>0.0</v>
      </c>
      <c r="E1271">
        <v>0.0</v>
      </c>
      <c r="F1271">
        <v>0.0</v>
      </c>
    </row>
    <row r="1272" spans="1:6">
      <c r="A1272" s="1" t="s">
        <v>88</v>
      </c>
      <c r="B1272" s="3">
        <v>45989</v>
      </c>
      <c r="C1272">
        <v>100.0</v>
      </c>
      <c r="D1272">
        <v>4.625</v>
      </c>
      <c r="E1272">
        <v>0.0</v>
      </c>
      <c r="F1272">
        <v>4.625</v>
      </c>
    </row>
    <row r="1273" spans="1:6">
      <c r="A1273" s="1" t="s">
        <v>88</v>
      </c>
      <c r="B1273" s="3">
        <v>46170</v>
      </c>
      <c r="C1273">
        <v>100.0</v>
      </c>
      <c r="D1273">
        <v>4.625</v>
      </c>
      <c r="E1273">
        <v>0.0</v>
      </c>
      <c r="F1273">
        <v>4.625</v>
      </c>
    </row>
    <row r="1274" spans="1:6">
      <c r="A1274" s="1" t="s">
        <v>88</v>
      </c>
      <c r="B1274" s="3">
        <v>46354</v>
      </c>
      <c r="C1274">
        <v>100.0</v>
      </c>
      <c r="D1274">
        <v>4.625</v>
      </c>
      <c r="E1274">
        <v>0.0</v>
      </c>
      <c r="F1274">
        <v>4.625</v>
      </c>
    </row>
    <row r="1275" spans="1:6">
      <c r="A1275" s="1" t="s">
        <v>88</v>
      </c>
      <c r="B1275" s="3">
        <v>46535</v>
      </c>
      <c r="C1275">
        <v>100.0</v>
      </c>
      <c r="D1275">
        <v>4.625</v>
      </c>
      <c r="E1275">
        <v>0.0</v>
      </c>
      <c r="F1275">
        <v>4.625</v>
      </c>
    </row>
    <row r="1276" spans="1:6">
      <c r="A1276" s="1" t="s">
        <v>88</v>
      </c>
      <c r="B1276" s="3">
        <v>46719</v>
      </c>
      <c r="C1276">
        <v>100.0</v>
      </c>
      <c r="D1276">
        <v>4.625</v>
      </c>
      <c r="E1276">
        <v>0.0</v>
      </c>
      <c r="F1276">
        <v>4.625</v>
      </c>
    </row>
    <row r="1277" spans="1:6">
      <c r="A1277" s="1" t="s">
        <v>88</v>
      </c>
      <c r="B1277" s="3">
        <v>46901</v>
      </c>
      <c r="C1277">
        <v>100.0</v>
      </c>
      <c r="D1277">
        <v>4.625</v>
      </c>
      <c r="E1277">
        <v>0.0</v>
      </c>
      <c r="F1277">
        <v>4.625</v>
      </c>
    </row>
    <row r="1278" spans="1:6">
      <c r="A1278" s="1" t="s">
        <v>88</v>
      </c>
      <c r="B1278" s="3">
        <v>47085</v>
      </c>
      <c r="C1278">
        <v>100.0</v>
      </c>
      <c r="D1278">
        <v>4.625</v>
      </c>
      <c r="E1278">
        <v>0.0</v>
      </c>
      <c r="F1278">
        <v>4.625</v>
      </c>
    </row>
    <row r="1279" spans="1:6">
      <c r="A1279" s="1" t="s">
        <v>88</v>
      </c>
      <c r="B1279" s="3">
        <v>47266</v>
      </c>
      <c r="C1279">
        <v>100.0</v>
      </c>
      <c r="D1279">
        <v>4.625</v>
      </c>
      <c r="E1279">
        <v>0.0</v>
      </c>
      <c r="F1279">
        <v>4.625</v>
      </c>
    </row>
    <row r="1280" spans="1:6">
      <c r="A1280" s="1" t="s">
        <v>88</v>
      </c>
      <c r="B1280" s="3">
        <v>47450</v>
      </c>
      <c r="C1280">
        <v>100.0</v>
      </c>
      <c r="D1280">
        <v>4.625</v>
      </c>
      <c r="E1280">
        <v>0.0</v>
      </c>
      <c r="F1280">
        <v>4.625</v>
      </c>
    </row>
    <row r="1281" spans="1:6">
      <c r="A1281" s="1" t="s">
        <v>88</v>
      </c>
      <c r="B1281" s="3">
        <v>47631</v>
      </c>
      <c r="C1281">
        <v>100.0</v>
      </c>
      <c r="D1281">
        <v>4.625</v>
      </c>
      <c r="E1281">
        <v>0.0</v>
      </c>
      <c r="F1281">
        <v>4.625</v>
      </c>
    </row>
    <row r="1282" spans="1:6">
      <c r="A1282" s="1" t="s">
        <v>88</v>
      </c>
      <c r="B1282" s="3">
        <v>47815</v>
      </c>
      <c r="C1282">
        <v>100.0</v>
      </c>
      <c r="D1282">
        <v>4.625</v>
      </c>
      <c r="E1282">
        <v>0.0</v>
      </c>
      <c r="F1282">
        <v>4.625</v>
      </c>
    </row>
    <row r="1283" spans="1:6">
      <c r="A1283" s="1" t="s">
        <v>88</v>
      </c>
      <c r="B1283" s="3">
        <v>47996</v>
      </c>
      <c r="C1283">
        <v>100.0</v>
      </c>
      <c r="D1283">
        <v>4.625</v>
      </c>
      <c r="E1283">
        <v>0.0</v>
      </c>
      <c r="F1283">
        <v>4.625</v>
      </c>
    </row>
    <row r="1284" spans="1:6">
      <c r="A1284" s="1" t="s">
        <v>88</v>
      </c>
      <c r="B1284" s="3">
        <v>48180</v>
      </c>
      <c r="C1284">
        <v>100.0</v>
      </c>
      <c r="D1284">
        <v>4.625</v>
      </c>
      <c r="E1284">
        <v>0.0</v>
      </c>
      <c r="F1284">
        <v>4.625</v>
      </c>
    </row>
    <row r="1285" spans="1:6">
      <c r="A1285" s="1" t="s">
        <v>88</v>
      </c>
      <c r="B1285" s="3">
        <v>48362</v>
      </c>
      <c r="C1285">
        <v>100.0</v>
      </c>
      <c r="D1285">
        <v>4.625</v>
      </c>
      <c r="E1285">
        <v>0.0</v>
      </c>
      <c r="F1285">
        <v>4.625</v>
      </c>
    </row>
    <row r="1286" spans="1:6">
      <c r="A1286" s="1" t="s">
        <v>88</v>
      </c>
      <c r="B1286" s="3">
        <v>48546</v>
      </c>
      <c r="C1286">
        <v>50.0</v>
      </c>
      <c r="D1286">
        <v>4.625</v>
      </c>
      <c r="E1286">
        <v>50.0</v>
      </c>
      <c r="F1286">
        <v>54.625</v>
      </c>
    </row>
    <row r="1287" spans="1:6">
      <c r="A1287" s="1" t="s">
        <v>88</v>
      </c>
      <c r="B1287" s="3">
        <v>48727</v>
      </c>
      <c r="C1287">
        <v>50.0</v>
      </c>
      <c r="D1287">
        <v>2.3125</v>
      </c>
      <c r="E1287">
        <v>0.0</v>
      </c>
      <c r="F1287">
        <v>2.3125</v>
      </c>
    </row>
    <row r="1288" spans="1:6">
      <c r="A1288" s="1" t="s">
        <v>88</v>
      </c>
      <c r="B1288" s="3">
        <v>48911</v>
      </c>
      <c r="C1288">
        <v>0.0</v>
      </c>
      <c r="D1288">
        <v>2.3125</v>
      </c>
      <c r="E1288">
        <v>50.0</v>
      </c>
      <c r="F1288">
        <v>52.3125</v>
      </c>
    </row>
    <row r="1289" spans="1:6">
      <c r="A1289" s="1" t="s">
        <v>218</v>
      </c>
      <c r="B1289" s="3">
        <v>46223</v>
      </c>
      <c r="C1289">
        <v>100.0</v>
      </c>
      <c r="D1289">
        <v>4.25</v>
      </c>
      <c r="E1289">
        <v>0.0</v>
      </c>
      <c r="F1289">
        <v>4.25</v>
      </c>
    </row>
    <row r="1290" spans="1:6">
      <c r="A1290" s="1" t="s">
        <v>218</v>
      </c>
      <c r="B1290" s="3">
        <v>46407</v>
      </c>
      <c r="C1290">
        <v>100.0</v>
      </c>
      <c r="D1290">
        <v>4.25</v>
      </c>
      <c r="E1290">
        <v>0.0</v>
      </c>
      <c r="F1290">
        <v>4.25</v>
      </c>
    </row>
    <row r="1291" spans="1:6">
      <c r="A1291" s="1" t="s">
        <v>218</v>
      </c>
      <c r="B1291" s="3">
        <v>46588</v>
      </c>
      <c r="C1291">
        <v>100.0</v>
      </c>
      <c r="D1291">
        <v>4.25</v>
      </c>
      <c r="E1291">
        <v>0.0</v>
      </c>
      <c r="F1291">
        <v>4.25</v>
      </c>
    </row>
    <row r="1292" spans="1:6">
      <c r="A1292" s="1" t="s">
        <v>218</v>
      </c>
      <c r="B1292" s="3">
        <v>46772</v>
      </c>
      <c r="C1292">
        <v>100.0</v>
      </c>
      <c r="D1292">
        <v>4.25</v>
      </c>
      <c r="E1292">
        <v>0.0</v>
      </c>
      <c r="F1292">
        <v>4.25</v>
      </c>
    </row>
    <row r="1293" spans="1:6">
      <c r="A1293" s="1" t="s">
        <v>218</v>
      </c>
      <c r="B1293" s="3">
        <v>46954</v>
      </c>
      <c r="C1293">
        <v>100.0</v>
      </c>
      <c r="D1293">
        <v>4.25</v>
      </c>
      <c r="E1293">
        <v>0.0</v>
      </c>
      <c r="F1293">
        <v>4.25</v>
      </c>
    </row>
    <row r="1294" spans="1:6">
      <c r="A1294" s="1" t="s">
        <v>218</v>
      </c>
      <c r="B1294" s="3">
        <v>47140</v>
      </c>
      <c r="C1294">
        <v>100.0</v>
      </c>
      <c r="D1294">
        <v>4.25</v>
      </c>
      <c r="E1294">
        <v>0.0</v>
      </c>
      <c r="F1294">
        <v>4.25</v>
      </c>
    </row>
    <row r="1295" spans="1:6">
      <c r="A1295" s="1" t="s">
        <v>218</v>
      </c>
      <c r="B1295" s="3">
        <v>47319</v>
      </c>
      <c r="C1295">
        <v>100.0</v>
      </c>
      <c r="D1295">
        <v>4.25</v>
      </c>
      <c r="E1295">
        <v>0.0</v>
      </c>
      <c r="F1295">
        <v>4.25</v>
      </c>
    </row>
    <row r="1296" spans="1:6">
      <c r="A1296" s="1" t="s">
        <v>218</v>
      </c>
      <c r="B1296" s="3">
        <v>47504</v>
      </c>
      <c r="C1296">
        <v>100.0</v>
      </c>
      <c r="D1296">
        <v>4.25</v>
      </c>
      <c r="E1296">
        <v>0.0</v>
      </c>
      <c r="F1296">
        <v>4.25</v>
      </c>
    </row>
    <row r="1297" spans="1:6">
      <c r="A1297" s="1" t="s">
        <v>218</v>
      </c>
      <c r="B1297" s="3">
        <v>47686</v>
      </c>
      <c r="C1297">
        <v>100.0</v>
      </c>
      <c r="D1297">
        <v>4.25</v>
      </c>
      <c r="E1297">
        <v>0.0</v>
      </c>
      <c r="F1297">
        <v>4.25</v>
      </c>
    </row>
    <row r="1298" spans="1:6">
      <c r="A1298" s="1" t="s">
        <v>218</v>
      </c>
      <c r="B1298" s="3">
        <v>47868</v>
      </c>
      <c r="C1298">
        <v>100.0</v>
      </c>
      <c r="D1298">
        <v>4.25</v>
      </c>
      <c r="E1298">
        <v>0.0</v>
      </c>
      <c r="F1298">
        <v>4.25</v>
      </c>
    </row>
    <row r="1299" spans="1:6">
      <c r="A1299" s="1" t="s">
        <v>218</v>
      </c>
      <c r="B1299" s="3">
        <v>48050</v>
      </c>
      <c r="C1299">
        <v>100.0</v>
      </c>
      <c r="D1299">
        <v>4.25</v>
      </c>
      <c r="E1299">
        <v>0.0</v>
      </c>
      <c r="F1299">
        <v>4.25</v>
      </c>
    </row>
    <row r="1300" spans="1:6">
      <c r="A1300" s="1" t="s">
        <v>218</v>
      </c>
      <c r="B1300" s="3">
        <v>48233</v>
      </c>
      <c r="C1300">
        <v>100.0</v>
      </c>
      <c r="D1300">
        <v>4.25</v>
      </c>
      <c r="E1300">
        <v>0.0</v>
      </c>
      <c r="F1300">
        <v>4.25</v>
      </c>
    </row>
    <row r="1301" spans="1:6">
      <c r="A1301" s="1" t="s">
        <v>218</v>
      </c>
      <c r="B1301" s="3">
        <v>48415</v>
      </c>
      <c r="C1301">
        <v>100.0</v>
      </c>
      <c r="D1301">
        <v>4.25</v>
      </c>
      <c r="E1301">
        <v>0.0</v>
      </c>
      <c r="F1301">
        <v>4.25</v>
      </c>
    </row>
    <row r="1302" spans="1:6">
      <c r="A1302" s="1" t="s">
        <v>218</v>
      </c>
      <c r="B1302" s="3">
        <v>48599</v>
      </c>
      <c r="C1302">
        <v>100.0</v>
      </c>
      <c r="D1302">
        <v>4.25</v>
      </c>
      <c r="E1302">
        <v>0.0</v>
      </c>
      <c r="F1302">
        <v>4.25</v>
      </c>
    </row>
    <row r="1303" spans="1:6">
      <c r="A1303" s="1" t="s">
        <v>218</v>
      </c>
      <c r="B1303" s="3">
        <v>48780</v>
      </c>
      <c r="C1303">
        <v>100.0</v>
      </c>
      <c r="D1303">
        <v>4.25</v>
      </c>
      <c r="E1303">
        <v>0.0</v>
      </c>
      <c r="F1303">
        <v>4.25</v>
      </c>
    </row>
    <row r="1304" spans="1:6">
      <c r="A1304" s="1" t="s">
        <v>218</v>
      </c>
      <c r="B1304" s="3">
        <v>48964</v>
      </c>
      <c r="C1304">
        <v>100.0</v>
      </c>
      <c r="D1304">
        <v>4.25</v>
      </c>
      <c r="E1304">
        <v>0.0</v>
      </c>
      <c r="F1304">
        <v>4.25</v>
      </c>
    </row>
    <row r="1305" spans="1:6">
      <c r="A1305" s="1" t="s">
        <v>218</v>
      </c>
      <c r="B1305" s="3">
        <v>49145</v>
      </c>
      <c r="C1305">
        <v>100.0</v>
      </c>
      <c r="D1305">
        <v>4.25</v>
      </c>
      <c r="E1305">
        <v>0.0</v>
      </c>
      <c r="F1305">
        <v>4.25</v>
      </c>
    </row>
    <row r="1306" spans="1:6">
      <c r="A1306" s="1" t="s">
        <v>218</v>
      </c>
      <c r="B1306" s="3">
        <v>49331</v>
      </c>
      <c r="C1306">
        <v>50.0</v>
      </c>
      <c r="D1306">
        <v>4.25</v>
      </c>
      <c r="E1306">
        <v>50.0</v>
      </c>
      <c r="F1306">
        <v>54.25</v>
      </c>
    </row>
    <row r="1307" spans="1:6">
      <c r="A1307" s="1" t="s">
        <v>218</v>
      </c>
      <c r="B1307" s="3">
        <v>49510</v>
      </c>
      <c r="C1307">
        <v>50.0</v>
      </c>
      <c r="D1307">
        <v>2.125</v>
      </c>
      <c r="E1307">
        <v>0.0</v>
      </c>
      <c r="F1307">
        <v>2.125</v>
      </c>
    </row>
    <row r="1308" spans="1:6">
      <c r="A1308" s="1" t="s">
        <v>218</v>
      </c>
      <c r="B1308" s="3">
        <v>49695</v>
      </c>
      <c r="C1308">
        <v>0.0</v>
      </c>
      <c r="D1308">
        <v>2.125</v>
      </c>
      <c r="E1308">
        <v>50.0</v>
      </c>
      <c r="F1308">
        <v>52.125</v>
      </c>
    </row>
    <row r="1309" spans="1:6">
      <c r="A1309" s="1" t="s">
        <v>316</v>
      </c>
      <c r="B1309" s="3">
        <v>46272</v>
      </c>
      <c r="C1309">
        <v>100.0</v>
      </c>
      <c r="D1309">
        <v>3.276712</v>
      </c>
      <c r="E1309">
        <v>0.0</v>
      </c>
      <c r="F1309">
        <v>3.276712</v>
      </c>
    </row>
    <row r="1310" spans="1:6">
      <c r="A1310" s="1" t="s">
        <v>316</v>
      </c>
      <c r="B1310" s="3">
        <v>46451</v>
      </c>
      <c r="C1310">
        <v>100.0</v>
      </c>
      <c r="D1310">
        <v>3.223288</v>
      </c>
      <c r="E1310">
        <v>0.0</v>
      </c>
      <c r="F1310">
        <v>3.223288</v>
      </c>
    </row>
    <row r="1311" spans="1:6">
      <c r="A1311" s="1" t="s">
        <v>316</v>
      </c>
      <c r="B1311" s="3">
        <v>46636</v>
      </c>
      <c r="C1311">
        <v>100.0</v>
      </c>
      <c r="D1311">
        <v>3.276712</v>
      </c>
      <c r="E1311">
        <v>0.0</v>
      </c>
      <c r="F1311">
        <v>3.276712</v>
      </c>
    </row>
    <row r="1312" spans="1:6">
      <c r="A1312" s="1" t="s">
        <v>316</v>
      </c>
      <c r="B1312" s="3">
        <v>46818</v>
      </c>
      <c r="C1312">
        <v>100.0</v>
      </c>
      <c r="D1312">
        <v>3.241096</v>
      </c>
      <c r="E1312">
        <v>0.0</v>
      </c>
      <c r="F1312">
        <v>3.241096</v>
      </c>
    </row>
    <row r="1313" spans="1:6">
      <c r="A1313" s="1" t="s">
        <v>316</v>
      </c>
      <c r="B1313" s="3">
        <v>47001</v>
      </c>
      <c r="C1313">
        <v>100.0</v>
      </c>
      <c r="D1313">
        <v>3.276712</v>
      </c>
      <c r="E1313">
        <v>0.0</v>
      </c>
      <c r="F1313">
        <v>3.276712</v>
      </c>
    </row>
    <row r="1314" spans="1:6">
      <c r="A1314" s="1" t="s">
        <v>316</v>
      </c>
      <c r="B1314" s="3">
        <v>47182</v>
      </c>
      <c r="C1314">
        <v>0.0</v>
      </c>
      <c r="D1314">
        <v>3.223288</v>
      </c>
      <c r="E1314">
        <v>100.0</v>
      </c>
      <c r="F1314">
        <v>103.223288</v>
      </c>
    </row>
    <row r="1315" spans="1:6">
      <c r="A1315" s="1" t="s">
        <v>318</v>
      </c>
      <c r="B1315" s="3">
        <v>46356</v>
      </c>
      <c r="C1315">
        <v>100.0</v>
      </c>
      <c r="D1315">
        <v>3.150685</v>
      </c>
      <c r="E1315">
        <v>0.0</v>
      </c>
      <c r="F1315">
        <v>3.150685</v>
      </c>
    </row>
    <row r="1316" spans="1:6">
      <c r="A1316" s="1" t="s">
        <v>318</v>
      </c>
      <c r="B1316" s="3">
        <v>46538</v>
      </c>
      <c r="C1316">
        <v>100.0</v>
      </c>
      <c r="D1316">
        <v>3.099315</v>
      </c>
      <c r="E1316">
        <v>0.0</v>
      </c>
      <c r="F1316">
        <v>3.099315</v>
      </c>
    </row>
    <row r="1317" spans="1:6">
      <c r="A1317" s="1" t="s">
        <v>318</v>
      </c>
      <c r="B1317" s="3">
        <v>46720</v>
      </c>
      <c r="C1317">
        <v>100.0</v>
      </c>
      <c r="D1317">
        <v>3.150685</v>
      </c>
      <c r="E1317">
        <v>0.0</v>
      </c>
      <c r="F1317">
        <v>3.150685</v>
      </c>
    </row>
    <row r="1318" spans="1:6">
      <c r="A1318" s="1" t="s">
        <v>318</v>
      </c>
      <c r="B1318" s="3">
        <v>46902</v>
      </c>
      <c r="C1318">
        <v>100.0</v>
      </c>
      <c r="D1318">
        <v>3.116438</v>
      </c>
      <c r="E1318">
        <v>0.0</v>
      </c>
      <c r="F1318">
        <v>3.116438</v>
      </c>
    </row>
    <row r="1319" spans="1:6">
      <c r="A1319" s="1" t="s">
        <v>318</v>
      </c>
      <c r="B1319" s="3">
        <v>47086</v>
      </c>
      <c r="C1319">
        <v>100.0</v>
      </c>
      <c r="D1319">
        <v>3.150685</v>
      </c>
      <c r="E1319">
        <v>0.0</v>
      </c>
      <c r="F1319">
        <v>3.150685</v>
      </c>
    </row>
    <row r="1320" spans="1:6">
      <c r="A1320" s="1" t="s">
        <v>318</v>
      </c>
      <c r="B1320" s="3">
        <v>47267</v>
      </c>
      <c r="C1320">
        <v>100.0</v>
      </c>
      <c r="D1320">
        <v>3.099315</v>
      </c>
      <c r="E1320">
        <v>0.0</v>
      </c>
      <c r="F1320">
        <v>3.099315</v>
      </c>
    </row>
    <row r="1321" spans="1:6">
      <c r="A1321" s="1" t="s">
        <v>318</v>
      </c>
      <c r="B1321" s="3">
        <v>47451</v>
      </c>
      <c r="C1321">
        <v>100.0</v>
      </c>
      <c r="D1321">
        <v>3.150685</v>
      </c>
      <c r="E1321">
        <v>0.0</v>
      </c>
      <c r="F1321">
        <v>3.150685</v>
      </c>
    </row>
    <row r="1322" spans="1:6">
      <c r="A1322" s="1" t="s">
        <v>318</v>
      </c>
      <c r="B1322" s="3">
        <v>47632</v>
      </c>
      <c r="C1322">
        <v>0.0</v>
      </c>
      <c r="D1322">
        <v>3.099315</v>
      </c>
      <c r="E1322">
        <v>100.0</v>
      </c>
      <c r="F1322">
        <v>103.099315</v>
      </c>
    </row>
    <row r="1323" spans="1:6">
      <c r="A1323" s="1" t="s">
        <v>220</v>
      </c>
      <c r="B1323" s="3">
        <v>45681</v>
      </c>
      <c r="C1323">
        <v>100.0</v>
      </c>
      <c r="D1323">
        <v>4.25</v>
      </c>
      <c r="E1323">
        <v>0.0</v>
      </c>
      <c r="F1323">
        <v>4.25</v>
      </c>
    </row>
    <row r="1324" spans="1:6">
      <c r="A1324" s="1" t="s">
        <v>220</v>
      </c>
      <c r="B1324" s="3">
        <v>45862</v>
      </c>
      <c r="C1324">
        <v>100.0</v>
      </c>
      <c r="D1324">
        <v>4.25</v>
      </c>
      <c r="E1324">
        <v>0.0</v>
      </c>
      <c r="F1324">
        <v>4.25</v>
      </c>
    </row>
    <row r="1325" spans="1:6">
      <c r="A1325" s="1" t="s">
        <v>220</v>
      </c>
      <c r="B1325" s="3">
        <v>46048</v>
      </c>
      <c r="C1325">
        <v>100.0</v>
      </c>
      <c r="D1325">
        <v>4.25</v>
      </c>
      <c r="E1325">
        <v>0.0</v>
      </c>
      <c r="F1325">
        <v>4.25</v>
      </c>
    </row>
    <row r="1326" spans="1:6">
      <c r="A1326" s="1" t="s">
        <v>220</v>
      </c>
      <c r="B1326" s="3">
        <v>46227</v>
      </c>
      <c r="C1326">
        <v>100.0</v>
      </c>
      <c r="D1326">
        <v>4.25</v>
      </c>
      <c r="E1326">
        <v>0.0</v>
      </c>
      <c r="F1326">
        <v>4.25</v>
      </c>
    </row>
    <row r="1327" spans="1:6">
      <c r="A1327" s="1" t="s">
        <v>220</v>
      </c>
      <c r="B1327" s="3">
        <v>46412</v>
      </c>
      <c r="C1327">
        <v>100.0</v>
      </c>
      <c r="D1327">
        <v>4.25</v>
      </c>
      <c r="E1327">
        <v>0.0</v>
      </c>
      <c r="F1327">
        <v>4.25</v>
      </c>
    </row>
    <row r="1328" spans="1:6">
      <c r="A1328" s="1" t="s">
        <v>220</v>
      </c>
      <c r="B1328" s="3">
        <v>46594</v>
      </c>
      <c r="C1328">
        <v>100.0</v>
      </c>
      <c r="D1328">
        <v>4.25</v>
      </c>
      <c r="E1328">
        <v>0.0</v>
      </c>
      <c r="F1328">
        <v>4.25</v>
      </c>
    </row>
    <row r="1329" spans="1:6">
      <c r="A1329" s="1" t="s">
        <v>220</v>
      </c>
      <c r="B1329" s="3">
        <v>46776</v>
      </c>
      <c r="C1329">
        <v>100.0</v>
      </c>
      <c r="D1329">
        <v>4.25</v>
      </c>
      <c r="E1329">
        <v>0.0</v>
      </c>
      <c r="F1329">
        <v>4.25</v>
      </c>
    </row>
    <row r="1330" spans="1:6">
      <c r="A1330" s="1" t="s">
        <v>220</v>
      </c>
      <c r="B1330" s="3">
        <v>46958</v>
      </c>
      <c r="C1330">
        <v>100.0</v>
      </c>
      <c r="D1330">
        <v>4.25</v>
      </c>
      <c r="E1330">
        <v>0.0</v>
      </c>
      <c r="F1330">
        <v>4.25</v>
      </c>
    </row>
    <row r="1331" spans="1:6">
      <c r="A1331" s="1" t="s">
        <v>220</v>
      </c>
      <c r="B1331" s="3">
        <v>47142</v>
      </c>
      <c r="C1331">
        <v>100.0</v>
      </c>
      <c r="D1331">
        <v>4.25</v>
      </c>
      <c r="E1331">
        <v>0.0</v>
      </c>
      <c r="F1331">
        <v>4.25</v>
      </c>
    </row>
    <row r="1332" spans="1:6">
      <c r="A1332" s="1" t="s">
        <v>220</v>
      </c>
      <c r="B1332" s="3">
        <v>47323</v>
      </c>
      <c r="C1332">
        <v>100.0</v>
      </c>
      <c r="D1332">
        <v>4.25</v>
      </c>
      <c r="E1332">
        <v>0.0</v>
      </c>
      <c r="F1332">
        <v>4.25</v>
      </c>
    </row>
    <row r="1333" spans="1:6">
      <c r="A1333" s="1" t="s">
        <v>220</v>
      </c>
      <c r="B1333" s="3">
        <v>47507</v>
      </c>
      <c r="C1333">
        <v>100.0</v>
      </c>
      <c r="D1333">
        <v>4.25</v>
      </c>
      <c r="E1333">
        <v>0.0</v>
      </c>
      <c r="F1333">
        <v>4.25</v>
      </c>
    </row>
    <row r="1334" spans="1:6">
      <c r="A1334" s="1" t="s">
        <v>220</v>
      </c>
      <c r="B1334" s="3">
        <v>47688</v>
      </c>
      <c r="C1334">
        <v>100.0</v>
      </c>
      <c r="D1334">
        <v>4.25</v>
      </c>
      <c r="E1334">
        <v>0.0</v>
      </c>
      <c r="F1334">
        <v>4.25</v>
      </c>
    </row>
    <row r="1335" spans="1:6">
      <c r="A1335" s="1" t="s">
        <v>220</v>
      </c>
      <c r="B1335" s="3">
        <v>47872</v>
      </c>
      <c r="C1335">
        <v>100.0</v>
      </c>
      <c r="D1335">
        <v>4.25</v>
      </c>
      <c r="E1335">
        <v>0.0</v>
      </c>
      <c r="F1335">
        <v>4.25</v>
      </c>
    </row>
    <row r="1336" spans="1:6">
      <c r="A1336" s="1" t="s">
        <v>220</v>
      </c>
      <c r="B1336" s="3">
        <v>48053</v>
      </c>
      <c r="C1336">
        <v>0.0</v>
      </c>
      <c r="D1336">
        <v>4.25</v>
      </c>
      <c r="E1336">
        <v>100.0</v>
      </c>
      <c r="F1336">
        <v>104.25</v>
      </c>
    </row>
    <row r="1337" spans="1:6">
      <c r="A1337" s="1" t="s">
        <v>222</v>
      </c>
      <c r="B1337" s="3">
        <v>46162</v>
      </c>
      <c r="C1337">
        <v>100.0</v>
      </c>
      <c r="D1337">
        <v>3.875</v>
      </c>
      <c r="E1337">
        <v>0.0</v>
      </c>
      <c r="F1337">
        <v>3.875</v>
      </c>
    </row>
    <row r="1338" spans="1:6">
      <c r="A1338" s="1" t="s">
        <v>222</v>
      </c>
      <c r="B1338" s="3">
        <v>46346</v>
      </c>
      <c r="C1338">
        <v>100.0</v>
      </c>
      <c r="D1338">
        <v>3.875</v>
      </c>
      <c r="E1338">
        <v>0.0</v>
      </c>
      <c r="F1338">
        <v>3.875</v>
      </c>
    </row>
    <row r="1339" spans="1:6">
      <c r="A1339" s="1" t="s">
        <v>222</v>
      </c>
      <c r="B1339" s="3">
        <v>46527</v>
      </c>
      <c r="C1339">
        <v>100.0</v>
      </c>
      <c r="D1339">
        <v>3.875</v>
      </c>
      <c r="E1339">
        <v>0.0</v>
      </c>
      <c r="F1339">
        <v>3.875</v>
      </c>
    </row>
    <row r="1340" spans="1:6">
      <c r="A1340" s="1" t="s">
        <v>222</v>
      </c>
      <c r="B1340" s="3">
        <v>46713</v>
      </c>
      <c r="C1340">
        <v>100.0</v>
      </c>
      <c r="D1340">
        <v>3.875</v>
      </c>
      <c r="E1340">
        <v>0.0</v>
      </c>
      <c r="F1340">
        <v>3.875</v>
      </c>
    </row>
    <row r="1341" spans="1:6">
      <c r="A1341" s="1" t="s">
        <v>222</v>
      </c>
      <c r="B1341" s="3">
        <v>46895</v>
      </c>
      <c r="C1341">
        <v>100.0</v>
      </c>
      <c r="D1341">
        <v>3.875</v>
      </c>
      <c r="E1341">
        <v>0.0</v>
      </c>
      <c r="F1341">
        <v>3.875</v>
      </c>
    </row>
    <row r="1342" spans="1:6">
      <c r="A1342" s="1" t="s">
        <v>222</v>
      </c>
      <c r="B1342" s="3">
        <v>47078</v>
      </c>
      <c r="C1342">
        <v>100.0</v>
      </c>
      <c r="D1342">
        <v>3.875</v>
      </c>
      <c r="E1342">
        <v>0.0</v>
      </c>
      <c r="F1342">
        <v>3.875</v>
      </c>
    </row>
    <row r="1343" spans="1:6">
      <c r="A1343" s="1" t="s">
        <v>222</v>
      </c>
      <c r="B1343" s="3">
        <v>47259</v>
      </c>
      <c r="C1343">
        <v>100.0</v>
      </c>
      <c r="D1343">
        <v>3.875</v>
      </c>
      <c r="E1343">
        <v>0.0</v>
      </c>
      <c r="F1343">
        <v>3.875</v>
      </c>
    </row>
    <row r="1344" spans="1:6">
      <c r="A1344" s="1" t="s">
        <v>222</v>
      </c>
      <c r="B1344" s="3">
        <v>47443</v>
      </c>
      <c r="C1344">
        <v>100.0</v>
      </c>
      <c r="D1344">
        <v>3.875</v>
      </c>
      <c r="E1344">
        <v>0.0</v>
      </c>
      <c r="F1344">
        <v>3.875</v>
      </c>
    </row>
    <row r="1345" spans="1:6">
      <c r="A1345" s="1" t="s">
        <v>222</v>
      </c>
      <c r="B1345" s="3">
        <v>47623</v>
      </c>
      <c r="C1345">
        <v>100.0</v>
      </c>
      <c r="D1345">
        <v>3.875</v>
      </c>
      <c r="E1345">
        <v>0.0</v>
      </c>
      <c r="F1345">
        <v>3.875</v>
      </c>
    </row>
    <row r="1346" spans="1:6">
      <c r="A1346" s="1" t="s">
        <v>222</v>
      </c>
      <c r="B1346" s="3">
        <v>47808</v>
      </c>
      <c r="C1346">
        <v>100.0</v>
      </c>
      <c r="D1346">
        <v>3.875</v>
      </c>
      <c r="E1346">
        <v>0.0</v>
      </c>
      <c r="F1346">
        <v>3.875</v>
      </c>
    </row>
    <row r="1347" spans="1:6">
      <c r="A1347" s="1" t="s">
        <v>222</v>
      </c>
      <c r="B1347" s="3">
        <v>47988</v>
      </c>
      <c r="C1347">
        <v>100.0</v>
      </c>
      <c r="D1347">
        <v>3.875</v>
      </c>
      <c r="E1347">
        <v>0.0</v>
      </c>
      <c r="F1347">
        <v>3.875</v>
      </c>
    </row>
    <row r="1348" spans="1:6">
      <c r="A1348" s="1" t="s">
        <v>222</v>
      </c>
      <c r="B1348" s="3">
        <v>48172</v>
      </c>
      <c r="C1348">
        <v>100.0</v>
      </c>
      <c r="D1348">
        <v>3.875</v>
      </c>
      <c r="E1348">
        <v>0.0</v>
      </c>
      <c r="F1348">
        <v>3.875</v>
      </c>
    </row>
    <row r="1349" spans="1:6">
      <c r="A1349" s="1" t="s">
        <v>222</v>
      </c>
      <c r="B1349" s="3">
        <v>48354</v>
      </c>
      <c r="C1349">
        <v>100.0</v>
      </c>
      <c r="D1349">
        <v>3.875</v>
      </c>
      <c r="E1349">
        <v>0.0</v>
      </c>
      <c r="F1349">
        <v>3.875</v>
      </c>
    </row>
    <row r="1350" spans="1:6">
      <c r="A1350" s="1" t="s">
        <v>222</v>
      </c>
      <c r="B1350" s="3">
        <v>48540</v>
      </c>
      <c r="C1350">
        <v>100.0</v>
      </c>
      <c r="D1350">
        <v>3.875</v>
      </c>
      <c r="E1350">
        <v>0.0</v>
      </c>
      <c r="F1350">
        <v>3.875</v>
      </c>
    </row>
    <row r="1351" spans="1:6">
      <c r="A1351" s="1" t="s">
        <v>222</v>
      </c>
      <c r="B1351" s="3">
        <v>48719</v>
      </c>
      <c r="C1351">
        <v>100.0</v>
      </c>
      <c r="D1351">
        <v>3.875</v>
      </c>
      <c r="E1351">
        <v>0.0</v>
      </c>
      <c r="F1351">
        <v>3.875</v>
      </c>
    </row>
    <row r="1352" spans="1:6">
      <c r="A1352" s="1" t="s">
        <v>222</v>
      </c>
      <c r="B1352" s="3">
        <v>48904</v>
      </c>
      <c r="C1352">
        <v>100.0</v>
      </c>
      <c r="D1352">
        <v>3.875</v>
      </c>
      <c r="E1352">
        <v>0.0</v>
      </c>
      <c r="F1352">
        <v>3.875</v>
      </c>
    </row>
    <row r="1353" spans="1:6">
      <c r="A1353" s="1" t="s">
        <v>222</v>
      </c>
      <c r="B1353" s="3">
        <v>49086</v>
      </c>
      <c r="C1353">
        <v>100.0</v>
      </c>
      <c r="D1353">
        <v>3.875</v>
      </c>
      <c r="E1353">
        <v>0.0</v>
      </c>
      <c r="F1353">
        <v>3.875</v>
      </c>
    </row>
    <row r="1354" spans="1:6">
      <c r="A1354" s="1" t="s">
        <v>222</v>
      </c>
      <c r="B1354" s="3">
        <v>49269</v>
      </c>
      <c r="C1354">
        <v>100.0</v>
      </c>
      <c r="D1354">
        <v>3.875</v>
      </c>
      <c r="E1354">
        <v>0.0</v>
      </c>
      <c r="F1354">
        <v>3.875</v>
      </c>
    </row>
    <row r="1355" spans="1:6">
      <c r="A1355" s="1" t="s">
        <v>222</v>
      </c>
      <c r="B1355" s="3">
        <v>49450</v>
      </c>
      <c r="C1355">
        <v>100.0</v>
      </c>
      <c r="D1355">
        <v>3.875</v>
      </c>
      <c r="E1355">
        <v>0.0</v>
      </c>
      <c r="F1355">
        <v>3.875</v>
      </c>
    </row>
    <row r="1356" spans="1:6">
      <c r="A1356" s="1" t="s">
        <v>222</v>
      </c>
      <c r="B1356" s="3">
        <v>49633</v>
      </c>
      <c r="C1356">
        <v>0.0</v>
      </c>
      <c r="D1356">
        <v>3.875</v>
      </c>
      <c r="E1356">
        <v>100.0</v>
      </c>
      <c r="F1356">
        <v>103.875</v>
      </c>
    </row>
    <row r="1357" spans="1:6">
      <c r="A1357" s="1" t="s">
        <v>212</v>
      </c>
      <c r="B1357" s="3">
        <v>46146</v>
      </c>
      <c r="C1357">
        <v>100.0</v>
      </c>
      <c r="D1357">
        <v>3.8125</v>
      </c>
      <c r="E1357">
        <v>0.0</v>
      </c>
      <c r="F1357">
        <v>3.8125</v>
      </c>
    </row>
    <row r="1358" spans="1:6">
      <c r="A1358" s="1" t="s">
        <v>212</v>
      </c>
      <c r="B1358" s="3">
        <v>46329</v>
      </c>
      <c r="C1358">
        <v>100.0</v>
      </c>
      <c r="D1358">
        <v>3.8125</v>
      </c>
      <c r="E1358">
        <v>0.0</v>
      </c>
      <c r="F1358">
        <v>3.8125</v>
      </c>
    </row>
    <row r="1359" spans="1:6">
      <c r="A1359" s="1" t="s">
        <v>212</v>
      </c>
      <c r="B1359" s="3">
        <v>46510</v>
      </c>
      <c r="C1359">
        <v>100.0</v>
      </c>
      <c r="D1359">
        <v>3.8125</v>
      </c>
      <c r="E1359">
        <v>0.0</v>
      </c>
      <c r="F1359">
        <v>3.8125</v>
      </c>
    </row>
    <row r="1360" spans="1:6">
      <c r="A1360" s="1" t="s">
        <v>212</v>
      </c>
      <c r="B1360" s="3">
        <v>46694</v>
      </c>
      <c r="C1360">
        <v>100.0</v>
      </c>
      <c r="D1360">
        <v>3.8125</v>
      </c>
      <c r="E1360">
        <v>0.0</v>
      </c>
      <c r="F1360">
        <v>3.8125</v>
      </c>
    </row>
    <row r="1361" spans="1:6">
      <c r="A1361" s="1" t="s">
        <v>212</v>
      </c>
      <c r="B1361" s="3">
        <v>46876</v>
      </c>
      <c r="C1361">
        <v>100.0</v>
      </c>
      <c r="D1361">
        <v>3.8125</v>
      </c>
      <c r="E1361">
        <v>0.0</v>
      </c>
      <c r="F1361">
        <v>3.8125</v>
      </c>
    </row>
    <row r="1362" spans="1:6">
      <c r="A1362" s="1" t="s">
        <v>212</v>
      </c>
      <c r="B1362" s="3">
        <v>47060</v>
      </c>
      <c r="C1362">
        <v>100.0</v>
      </c>
      <c r="D1362">
        <v>3.8125</v>
      </c>
      <c r="E1362">
        <v>0.0</v>
      </c>
      <c r="F1362">
        <v>3.8125</v>
      </c>
    </row>
    <row r="1363" spans="1:6">
      <c r="A1363" s="1" t="s">
        <v>212</v>
      </c>
      <c r="B1363" s="3">
        <v>47241</v>
      </c>
      <c r="C1363">
        <v>100.0</v>
      </c>
      <c r="D1363">
        <v>3.8125</v>
      </c>
      <c r="E1363">
        <v>0.0</v>
      </c>
      <c r="F1363">
        <v>3.8125</v>
      </c>
    </row>
    <row r="1364" spans="1:6">
      <c r="A1364" s="1" t="s">
        <v>212</v>
      </c>
      <c r="B1364" s="3">
        <v>47427</v>
      </c>
      <c r="C1364">
        <v>100.0</v>
      </c>
      <c r="D1364">
        <v>3.8125</v>
      </c>
      <c r="E1364">
        <v>0.0</v>
      </c>
      <c r="F1364">
        <v>3.8125</v>
      </c>
    </row>
    <row r="1365" spans="1:6">
      <c r="A1365" s="1" t="s">
        <v>212</v>
      </c>
      <c r="B1365" s="3">
        <v>47606</v>
      </c>
      <c r="C1365">
        <v>100.0</v>
      </c>
      <c r="D1365">
        <v>3.8125</v>
      </c>
      <c r="E1365">
        <v>0.0</v>
      </c>
      <c r="F1365">
        <v>3.8125</v>
      </c>
    </row>
    <row r="1366" spans="1:6">
      <c r="A1366" s="1" t="s">
        <v>212</v>
      </c>
      <c r="B1366" s="3">
        <v>47791</v>
      </c>
      <c r="C1366">
        <v>0.0</v>
      </c>
      <c r="D1366">
        <v>3.8125</v>
      </c>
      <c r="E1366">
        <v>100.0</v>
      </c>
      <c r="F1366">
        <v>103.8125</v>
      </c>
    </row>
    <row r="1367" spans="1:6">
      <c r="A1367" s="1" t="s">
        <v>267</v>
      </c>
      <c r="B1367" s="3">
        <v>45757</v>
      </c>
      <c r="C1367">
        <v>100.0</v>
      </c>
      <c r="D1367">
        <v>3.814521</v>
      </c>
      <c r="E1367">
        <v>0.0</v>
      </c>
      <c r="F1367">
        <v>3.814521</v>
      </c>
    </row>
    <row r="1368" spans="1:6">
      <c r="A1368" s="1" t="s">
        <v>267</v>
      </c>
      <c r="B1368" s="3">
        <v>45943</v>
      </c>
      <c r="C1368">
        <v>100.0</v>
      </c>
      <c r="D1368">
        <v>3.835479</v>
      </c>
      <c r="E1368">
        <v>0.0</v>
      </c>
      <c r="F1368">
        <v>3.835479</v>
      </c>
    </row>
    <row r="1369" spans="1:6">
      <c r="A1369" s="1" t="s">
        <v>267</v>
      </c>
      <c r="B1369" s="3">
        <v>46122</v>
      </c>
      <c r="C1369">
        <v>100.0</v>
      </c>
      <c r="D1369">
        <v>3.814521</v>
      </c>
      <c r="E1369">
        <v>0.0</v>
      </c>
      <c r="F1369">
        <v>3.814521</v>
      </c>
    </row>
    <row r="1370" spans="1:6">
      <c r="A1370" s="1" t="s">
        <v>267</v>
      </c>
      <c r="B1370" s="3">
        <v>46308</v>
      </c>
      <c r="C1370">
        <v>100.0</v>
      </c>
      <c r="D1370">
        <v>3.835479</v>
      </c>
      <c r="E1370">
        <v>0.0</v>
      </c>
      <c r="F1370">
        <v>3.835479</v>
      </c>
    </row>
    <row r="1371" spans="1:6">
      <c r="A1371" s="1" t="s">
        <v>267</v>
      </c>
      <c r="B1371" s="3">
        <v>46489</v>
      </c>
      <c r="C1371">
        <v>100.0</v>
      </c>
      <c r="D1371">
        <v>3.814521</v>
      </c>
      <c r="E1371">
        <v>0.0</v>
      </c>
      <c r="F1371">
        <v>3.814521</v>
      </c>
    </row>
    <row r="1372" spans="1:6">
      <c r="A1372" s="1" t="s">
        <v>267</v>
      </c>
      <c r="B1372" s="3">
        <v>46671</v>
      </c>
      <c r="C1372">
        <v>100.0</v>
      </c>
      <c r="D1372">
        <v>3.835479</v>
      </c>
      <c r="E1372">
        <v>0.0</v>
      </c>
      <c r="F1372">
        <v>3.835479</v>
      </c>
    </row>
    <row r="1373" spans="1:6">
      <c r="A1373" s="1" t="s">
        <v>267</v>
      </c>
      <c r="B1373" s="3">
        <v>46853</v>
      </c>
      <c r="C1373">
        <v>100.0</v>
      </c>
      <c r="D1373">
        <v>3.835479</v>
      </c>
      <c r="E1373">
        <v>0.0</v>
      </c>
      <c r="F1373">
        <v>3.835479</v>
      </c>
    </row>
    <row r="1374" spans="1:6">
      <c r="A1374" s="1" t="s">
        <v>267</v>
      </c>
      <c r="B1374" s="3">
        <v>47036</v>
      </c>
      <c r="C1374">
        <v>100.0</v>
      </c>
      <c r="D1374">
        <v>3.835479</v>
      </c>
      <c r="E1374">
        <v>0.0</v>
      </c>
      <c r="F1374">
        <v>3.835479</v>
      </c>
    </row>
    <row r="1375" spans="1:6">
      <c r="A1375" s="1" t="s">
        <v>267</v>
      </c>
      <c r="B1375" s="3">
        <v>47218</v>
      </c>
      <c r="C1375">
        <v>100.0</v>
      </c>
      <c r="D1375">
        <v>3.814521</v>
      </c>
      <c r="E1375">
        <v>0.0</v>
      </c>
      <c r="F1375">
        <v>3.814521</v>
      </c>
    </row>
    <row r="1376" spans="1:6">
      <c r="A1376" s="1" t="s">
        <v>267</v>
      </c>
      <c r="B1376" s="3">
        <v>47401</v>
      </c>
      <c r="C1376">
        <v>67.0</v>
      </c>
      <c r="D1376">
        <v>3.835479</v>
      </c>
      <c r="E1376">
        <v>33.0</v>
      </c>
      <c r="F1376">
        <v>36.835479</v>
      </c>
    </row>
    <row r="1377" spans="1:6">
      <c r="A1377" s="1" t="s">
        <v>267</v>
      </c>
      <c r="B1377" s="3">
        <v>47583</v>
      </c>
      <c r="C1377">
        <v>67.0</v>
      </c>
      <c r="D1377">
        <v>2.555729</v>
      </c>
      <c r="E1377">
        <v>0.0</v>
      </c>
      <c r="F1377">
        <v>2.555729</v>
      </c>
    </row>
    <row r="1378" spans="1:6">
      <c r="A1378" s="1" t="s">
        <v>267</v>
      </c>
      <c r="B1378" s="3">
        <v>47766</v>
      </c>
      <c r="C1378">
        <v>34.0</v>
      </c>
      <c r="D1378">
        <v>2.569771</v>
      </c>
      <c r="E1378">
        <v>33.0</v>
      </c>
      <c r="F1378">
        <v>35.569771</v>
      </c>
    </row>
    <row r="1379" spans="1:6">
      <c r="A1379" s="1" t="s">
        <v>267</v>
      </c>
      <c r="B1379" s="3">
        <v>47948</v>
      </c>
      <c r="C1379">
        <v>34.0</v>
      </c>
      <c r="D1379">
        <v>1.296937</v>
      </c>
      <c r="E1379">
        <v>0.0</v>
      </c>
      <c r="F1379">
        <v>1.296937</v>
      </c>
    </row>
    <row r="1380" spans="1:6">
      <c r="A1380" s="1" t="s">
        <v>267</v>
      </c>
      <c r="B1380" s="3">
        <v>48131</v>
      </c>
      <c r="C1380">
        <v>0.0</v>
      </c>
      <c r="D1380">
        <v>1.304063</v>
      </c>
      <c r="E1380">
        <v>34.0</v>
      </c>
      <c r="F1380">
        <v>35.304063</v>
      </c>
    </row>
    <row r="1381" spans="1:6">
      <c r="A1381" s="1" t="s">
        <v>226</v>
      </c>
      <c r="B1381" s="3">
        <v>45818</v>
      </c>
      <c r="C1381">
        <v>100.0</v>
      </c>
      <c r="D1381">
        <v>3.8125</v>
      </c>
      <c r="E1381">
        <v>0.0</v>
      </c>
      <c r="F1381">
        <v>3.8125</v>
      </c>
    </row>
    <row r="1382" spans="1:6">
      <c r="A1382" s="1" t="s">
        <v>226</v>
      </c>
      <c r="B1382" s="3">
        <v>46001</v>
      </c>
      <c r="C1382">
        <v>100.0</v>
      </c>
      <c r="D1382">
        <v>3.8125</v>
      </c>
      <c r="E1382">
        <v>0.0</v>
      </c>
      <c r="F1382">
        <v>3.8125</v>
      </c>
    </row>
    <row r="1383" spans="1:6">
      <c r="A1383" s="1" t="s">
        <v>226</v>
      </c>
      <c r="B1383" s="3">
        <v>46183</v>
      </c>
      <c r="C1383">
        <v>100.0</v>
      </c>
      <c r="D1383">
        <v>3.8125</v>
      </c>
      <c r="E1383">
        <v>0.0</v>
      </c>
      <c r="F1383">
        <v>3.8125</v>
      </c>
    </row>
    <row r="1384" spans="1:6">
      <c r="A1384" s="1" t="s">
        <v>226</v>
      </c>
      <c r="B1384" s="3">
        <v>46366</v>
      </c>
      <c r="C1384">
        <v>100.0</v>
      </c>
      <c r="D1384">
        <v>3.8125</v>
      </c>
      <c r="E1384">
        <v>0.0</v>
      </c>
      <c r="F1384">
        <v>3.8125</v>
      </c>
    </row>
    <row r="1385" spans="1:6">
      <c r="A1385" s="1" t="s">
        <v>226</v>
      </c>
      <c r="B1385" s="3">
        <v>46548</v>
      </c>
      <c r="C1385">
        <v>100.0</v>
      </c>
      <c r="D1385">
        <v>3.8125</v>
      </c>
      <c r="E1385">
        <v>0.0</v>
      </c>
      <c r="F1385">
        <v>3.8125</v>
      </c>
    </row>
    <row r="1386" spans="1:6">
      <c r="A1386" s="1" t="s">
        <v>226</v>
      </c>
      <c r="B1386" s="3">
        <v>46731</v>
      </c>
      <c r="C1386">
        <v>100.0</v>
      </c>
      <c r="D1386">
        <v>3.8125</v>
      </c>
      <c r="E1386">
        <v>0.0</v>
      </c>
      <c r="F1386">
        <v>3.8125</v>
      </c>
    </row>
    <row r="1387" spans="1:6">
      <c r="A1387" s="1" t="s">
        <v>226</v>
      </c>
      <c r="B1387" s="3">
        <v>46916</v>
      </c>
      <c r="C1387">
        <v>100.0</v>
      </c>
      <c r="D1387">
        <v>3.8125</v>
      </c>
      <c r="E1387">
        <v>0.0</v>
      </c>
      <c r="F1387">
        <v>3.8125</v>
      </c>
    </row>
    <row r="1388" spans="1:6">
      <c r="A1388" s="1" t="s">
        <v>226</v>
      </c>
      <c r="B1388" s="3">
        <v>47098</v>
      </c>
      <c r="C1388">
        <v>100.0</v>
      </c>
      <c r="D1388">
        <v>3.8125</v>
      </c>
      <c r="E1388">
        <v>0.0</v>
      </c>
      <c r="F1388">
        <v>3.8125</v>
      </c>
    </row>
    <row r="1389" spans="1:6">
      <c r="A1389" s="1" t="s">
        <v>226</v>
      </c>
      <c r="B1389" s="3">
        <v>47280</v>
      </c>
      <c r="C1389">
        <v>100.0</v>
      </c>
      <c r="D1389">
        <v>3.8125</v>
      </c>
      <c r="E1389">
        <v>0.0</v>
      </c>
      <c r="F1389">
        <v>3.8125</v>
      </c>
    </row>
    <row r="1390" spans="1:6">
      <c r="A1390" s="1" t="s">
        <v>226</v>
      </c>
      <c r="B1390" s="3">
        <v>47462</v>
      </c>
      <c r="C1390">
        <v>100.0</v>
      </c>
      <c r="D1390">
        <v>3.8125</v>
      </c>
      <c r="E1390">
        <v>0.0</v>
      </c>
      <c r="F1390">
        <v>3.8125</v>
      </c>
    </row>
    <row r="1391" spans="1:6">
      <c r="A1391" s="1" t="s">
        <v>226</v>
      </c>
      <c r="B1391" s="3">
        <v>47644</v>
      </c>
      <c r="C1391">
        <v>100.0</v>
      </c>
      <c r="D1391">
        <v>3.8125</v>
      </c>
      <c r="E1391">
        <v>0.0</v>
      </c>
      <c r="F1391">
        <v>3.8125</v>
      </c>
    </row>
    <row r="1392" spans="1:6">
      <c r="A1392" s="1" t="s">
        <v>226</v>
      </c>
      <c r="B1392" s="3">
        <v>47827</v>
      </c>
      <c r="C1392">
        <v>100.0</v>
      </c>
      <c r="D1392">
        <v>3.8125</v>
      </c>
      <c r="E1392">
        <v>0.0</v>
      </c>
      <c r="F1392">
        <v>3.8125</v>
      </c>
    </row>
    <row r="1393" spans="1:6">
      <c r="A1393" s="1" t="s">
        <v>226</v>
      </c>
      <c r="B1393" s="3">
        <v>48009</v>
      </c>
      <c r="C1393">
        <v>100.0</v>
      </c>
      <c r="D1393">
        <v>3.8125</v>
      </c>
      <c r="E1393">
        <v>0.0</v>
      </c>
      <c r="F1393">
        <v>3.8125</v>
      </c>
    </row>
    <row r="1394" spans="1:6">
      <c r="A1394" s="1" t="s">
        <v>226</v>
      </c>
      <c r="B1394" s="3">
        <v>48192</v>
      </c>
      <c r="C1394">
        <v>100.0</v>
      </c>
      <c r="D1394">
        <v>3.8125</v>
      </c>
      <c r="E1394">
        <v>0.0</v>
      </c>
      <c r="F1394">
        <v>3.8125</v>
      </c>
    </row>
    <row r="1395" spans="1:6">
      <c r="A1395" s="1" t="s">
        <v>226</v>
      </c>
      <c r="B1395" s="3">
        <v>48375</v>
      </c>
      <c r="C1395">
        <v>100.0</v>
      </c>
      <c r="D1395">
        <v>3.8125</v>
      </c>
      <c r="E1395">
        <v>0.0</v>
      </c>
      <c r="F1395">
        <v>3.8125</v>
      </c>
    </row>
    <row r="1396" spans="1:6">
      <c r="A1396" s="1" t="s">
        <v>226</v>
      </c>
      <c r="B1396" s="3">
        <v>48558</v>
      </c>
      <c r="C1396">
        <v>100.0</v>
      </c>
      <c r="D1396">
        <v>3.8125</v>
      </c>
      <c r="E1396">
        <v>0.0</v>
      </c>
      <c r="F1396">
        <v>3.8125</v>
      </c>
    </row>
    <row r="1397" spans="1:6">
      <c r="A1397" s="1" t="s">
        <v>226</v>
      </c>
      <c r="B1397" s="3">
        <v>48740</v>
      </c>
      <c r="C1397">
        <v>100.0</v>
      </c>
      <c r="D1397">
        <v>3.8125</v>
      </c>
      <c r="E1397">
        <v>0.0</v>
      </c>
      <c r="F1397">
        <v>3.8125</v>
      </c>
    </row>
    <row r="1398" spans="1:6">
      <c r="A1398" s="1" t="s">
        <v>226</v>
      </c>
      <c r="B1398" s="3">
        <v>48925</v>
      </c>
      <c r="C1398">
        <v>67.0</v>
      </c>
      <c r="D1398">
        <v>3.8125</v>
      </c>
      <c r="E1398">
        <v>33.0</v>
      </c>
      <c r="F1398">
        <v>36.8125</v>
      </c>
    </row>
    <row r="1399" spans="1:6">
      <c r="A1399" s="1" t="s">
        <v>226</v>
      </c>
      <c r="B1399" s="3">
        <v>49107</v>
      </c>
      <c r="C1399">
        <v>67.0</v>
      </c>
      <c r="D1399">
        <v>2.554375</v>
      </c>
      <c r="E1399">
        <v>0.0</v>
      </c>
      <c r="F1399">
        <v>2.554375</v>
      </c>
    </row>
    <row r="1400" spans="1:6">
      <c r="A1400" s="1" t="s">
        <v>226</v>
      </c>
      <c r="B1400" s="3">
        <v>49289</v>
      </c>
      <c r="C1400">
        <v>34.0</v>
      </c>
      <c r="D1400">
        <v>2.554375</v>
      </c>
      <c r="E1400">
        <v>33.0</v>
      </c>
      <c r="F1400">
        <v>35.554375</v>
      </c>
    </row>
    <row r="1401" spans="1:6">
      <c r="A1401" s="1" t="s">
        <v>226</v>
      </c>
      <c r="B1401" s="3">
        <v>49471</v>
      </c>
      <c r="C1401">
        <v>34.0</v>
      </c>
      <c r="D1401">
        <v>1.29625</v>
      </c>
      <c r="E1401">
        <v>0.0</v>
      </c>
      <c r="F1401">
        <v>1.29625</v>
      </c>
    </row>
    <row r="1402" spans="1:6">
      <c r="A1402" s="1" t="s">
        <v>226</v>
      </c>
      <c r="B1402" s="3">
        <v>49653</v>
      </c>
      <c r="C1402">
        <v>0.0</v>
      </c>
      <c r="D1402">
        <v>1.29625</v>
      </c>
      <c r="E1402">
        <v>34.0</v>
      </c>
      <c r="F1402">
        <v>35.29625</v>
      </c>
    </row>
    <row r="1403" spans="1:6">
      <c r="A1403" s="1" t="s">
        <v>224</v>
      </c>
      <c r="B1403" s="3">
        <v>46001</v>
      </c>
      <c r="C1403">
        <v>100.0</v>
      </c>
      <c r="D1403">
        <v>4.25</v>
      </c>
      <c r="E1403">
        <v>0.0</v>
      </c>
      <c r="F1403">
        <v>4.25</v>
      </c>
    </row>
    <row r="1404" spans="1:6">
      <c r="A1404" s="1" t="s">
        <v>224</v>
      </c>
      <c r="B1404" s="3">
        <v>46183</v>
      </c>
      <c r="C1404">
        <v>100.0</v>
      </c>
      <c r="D1404">
        <v>4.25</v>
      </c>
      <c r="E1404">
        <v>0.0</v>
      </c>
      <c r="F1404">
        <v>4.25</v>
      </c>
    </row>
    <row r="1405" spans="1:6">
      <c r="A1405" s="1" t="s">
        <v>224</v>
      </c>
      <c r="B1405" s="3">
        <v>46366</v>
      </c>
      <c r="C1405">
        <v>100.0</v>
      </c>
      <c r="D1405">
        <v>4.25</v>
      </c>
      <c r="E1405">
        <v>0.0</v>
      </c>
      <c r="F1405">
        <v>4.25</v>
      </c>
    </row>
    <row r="1406" spans="1:6">
      <c r="A1406" s="1" t="s">
        <v>224</v>
      </c>
      <c r="B1406" s="3">
        <v>46548</v>
      </c>
      <c r="C1406">
        <v>100.0</v>
      </c>
      <c r="D1406">
        <v>4.25</v>
      </c>
      <c r="E1406">
        <v>0.0</v>
      </c>
      <c r="F1406">
        <v>4.25</v>
      </c>
    </row>
    <row r="1407" spans="1:6">
      <c r="A1407" s="1" t="s">
        <v>224</v>
      </c>
      <c r="B1407" s="3">
        <v>46731</v>
      </c>
      <c r="C1407">
        <v>100.0</v>
      </c>
      <c r="D1407">
        <v>4.25</v>
      </c>
      <c r="E1407">
        <v>0.0</v>
      </c>
      <c r="F1407">
        <v>4.25</v>
      </c>
    </row>
    <row r="1408" spans="1:6">
      <c r="A1408" s="1" t="s">
        <v>224</v>
      </c>
      <c r="B1408" s="3">
        <v>46916</v>
      </c>
      <c r="C1408">
        <v>100.0</v>
      </c>
      <c r="D1408">
        <v>4.25</v>
      </c>
      <c r="E1408">
        <v>0.0</v>
      </c>
      <c r="F1408">
        <v>4.25</v>
      </c>
    </row>
    <row r="1409" spans="1:6">
      <c r="A1409" s="1" t="s">
        <v>224</v>
      </c>
      <c r="B1409" s="3">
        <v>47098</v>
      </c>
      <c r="C1409">
        <v>100.0</v>
      </c>
      <c r="D1409">
        <v>4.25</v>
      </c>
      <c r="E1409">
        <v>0.0</v>
      </c>
      <c r="F1409">
        <v>4.25</v>
      </c>
    </row>
    <row r="1410" spans="1:6">
      <c r="A1410" s="1" t="s">
        <v>224</v>
      </c>
      <c r="B1410" s="3">
        <v>47280</v>
      </c>
      <c r="C1410">
        <v>100.0</v>
      </c>
      <c r="D1410">
        <v>4.25</v>
      </c>
      <c r="E1410">
        <v>0.0</v>
      </c>
      <c r="F1410">
        <v>4.25</v>
      </c>
    </row>
    <row r="1411" spans="1:6">
      <c r="A1411" s="1" t="s">
        <v>224</v>
      </c>
      <c r="B1411" s="3">
        <v>47462</v>
      </c>
      <c r="C1411">
        <v>100.0</v>
      </c>
      <c r="D1411">
        <v>4.25</v>
      </c>
      <c r="E1411">
        <v>0.0</v>
      </c>
      <c r="F1411">
        <v>4.25</v>
      </c>
    </row>
    <row r="1412" spans="1:6">
      <c r="A1412" s="1" t="s">
        <v>224</v>
      </c>
      <c r="B1412" s="3">
        <v>47644</v>
      </c>
      <c r="C1412">
        <v>100.0</v>
      </c>
      <c r="D1412">
        <v>4.25</v>
      </c>
      <c r="E1412">
        <v>0.0</v>
      </c>
      <c r="F1412">
        <v>4.25</v>
      </c>
    </row>
    <row r="1413" spans="1:6">
      <c r="A1413" s="1" t="s">
        <v>224</v>
      </c>
      <c r="B1413" s="3">
        <v>47827</v>
      </c>
      <c r="C1413">
        <v>100.0</v>
      </c>
      <c r="D1413">
        <v>4.25</v>
      </c>
      <c r="E1413">
        <v>0.0</v>
      </c>
      <c r="F1413">
        <v>4.25</v>
      </c>
    </row>
    <row r="1414" spans="1:6">
      <c r="A1414" s="1" t="s">
        <v>224</v>
      </c>
      <c r="B1414" s="3">
        <v>48009</v>
      </c>
      <c r="C1414">
        <v>67.0</v>
      </c>
      <c r="D1414">
        <v>4.25</v>
      </c>
      <c r="E1414">
        <v>33.0</v>
      </c>
      <c r="F1414">
        <v>37.25</v>
      </c>
    </row>
    <row r="1415" spans="1:6">
      <c r="A1415" s="1" t="s">
        <v>224</v>
      </c>
      <c r="B1415" s="3">
        <v>48192</v>
      </c>
      <c r="C1415">
        <v>67.0</v>
      </c>
      <c r="D1415">
        <v>2.8475</v>
      </c>
      <c r="E1415">
        <v>0.0</v>
      </c>
      <c r="F1415">
        <v>2.8475</v>
      </c>
    </row>
    <row r="1416" spans="1:6">
      <c r="A1416" s="1" t="s">
        <v>224</v>
      </c>
      <c r="B1416" s="3">
        <v>48375</v>
      </c>
      <c r="C1416">
        <v>34.0</v>
      </c>
      <c r="D1416">
        <v>2.8475</v>
      </c>
      <c r="E1416">
        <v>33.0</v>
      </c>
      <c r="F1416">
        <v>35.8475</v>
      </c>
    </row>
    <row r="1417" spans="1:6">
      <c r="A1417" s="1" t="s">
        <v>224</v>
      </c>
      <c r="B1417" s="3">
        <v>48558</v>
      </c>
      <c r="C1417">
        <v>34.0</v>
      </c>
      <c r="D1417">
        <v>1.445</v>
      </c>
      <c r="E1417">
        <v>0.0</v>
      </c>
      <c r="F1417">
        <v>1.445</v>
      </c>
    </row>
    <row r="1418" spans="1:6">
      <c r="A1418" s="1" t="s">
        <v>224</v>
      </c>
      <c r="B1418" s="3">
        <v>48740</v>
      </c>
      <c r="C1418">
        <v>0.0</v>
      </c>
      <c r="D1418">
        <v>1.445</v>
      </c>
      <c r="E1418">
        <v>34.0</v>
      </c>
      <c r="F1418">
        <v>35.445</v>
      </c>
    </row>
    <row r="1419" spans="1:6">
      <c r="A1419" s="1" t="s">
        <v>228</v>
      </c>
      <c r="B1419" s="3">
        <v>46303</v>
      </c>
      <c r="C1419">
        <v>100.0</v>
      </c>
      <c r="D1419">
        <v>3.9375</v>
      </c>
      <c r="E1419">
        <v>0.0</v>
      </c>
      <c r="F1419">
        <v>3.9375</v>
      </c>
    </row>
    <row r="1420" spans="1:6">
      <c r="A1420" s="1" t="s">
        <v>228</v>
      </c>
      <c r="B1420" s="3">
        <v>46485</v>
      </c>
      <c r="C1420">
        <v>100.0</v>
      </c>
      <c r="D1420">
        <v>3.9375</v>
      </c>
      <c r="E1420">
        <v>0.0</v>
      </c>
      <c r="F1420">
        <v>3.9375</v>
      </c>
    </row>
    <row r="1421" spans="1:6">
      <c r="A1421" s="1" t="s">
        <v>228</v>
      </c>
      <c r="B1421" s="3">
        <v>46668</v>
      </c>
      <c r="C1421">
        <v>100.0</v>
      </c>
      <c r="D1421">
        <v>3.9375</v>
      </c>
      <c r="E1421">
        <v>0.0</v>
      </c>
      <c r="F1421">
        <v>3.9375</v>
      </c>
    </row>
    <row r="1422" spans="1:6">
      <c r="A1422" s="1" t="s">
        <v>228</v>
      </c>
      <c r="B1422" s="3">
        <v>46853</v>
      </c>
      <c r="C1422">
        <v>100.0</v>
      </c>
      <c r="D1422">
        <v>3.9375</v>
      </c>
      <c r="E1422">
        <v>0.0</v>
      </c>
      <c r="F1422">
        <v>3.9375</v>
      </c>
    </row>
    <row r="1423" spans="1:6">
      <c r="A1423" s="1" t="s">
        <v>228</v>
      </c>
      <c r="B1423" s="3">
        <v>47035</v>
      </c>
      <c r="C1423">
        <v>100.0</v>
      </c>
      <c r="D1423">
        <v>3.9375</v>
      </c>
      <c r="E1423">
        <v>0.0</v>
      </c>
      <c r="F1423">
        <v>3.9375</v>
      </c>
    </row>
    <row r="1424" spans="1:6">
      <c r="A1424" s="1" t="s">
        <v>228</v>
      </c>
      <c r="B1424" s="3">
        <v>47217</v>
      </c>
      <c r="C1424">
        <v>100.0</v>
      </c>
      <c r="D1424">
        <v>3.9375</v>
      </c>
      <c r="E1424">
        <v>0.0</v>
      </c>
      <c r="F1424">
        <v>3.9375</v>
      </c>
    </row>
    <row r="1425" spans="1:6">
      <c r="A1425" s="1" t="s">
        <v>228</v>
      </c>
      <c r="B1425" s="3">
        <v>47399</v>
      </c>
      <c r="C1425">
        <v>100.0</v>
      </c>
      <c r="D1425">
        <v>3.9375</v>
      </c>
      <c r="E1425">
        <v>0.0</v>
      </c>
      <c r="F1425">
        <v>3.9375</v>
      </c>
    </row>
    <row r="1426" spans="1:6">
      <c r="A1426" s="1" t="s">
        <v>228</v>
      </c>
      <c r="B1426" s="3">
        <v>47581</v>
      </c>
      <c r="C1426">
        <v>100.0</v>
      </c>
      <c r="D1426">
        <v>3.9375</v>
      </c>
      <c r="E1426">
        <v>0.0</v>
      </c>
      <c r="F1426">
        <v>3.9375</v>
      </c>
    </row>
    <row r="1427" spans="1:6">
      <c r="A1427" s="1" t="s">
        <v>228</v>
      </c>
      <c r="B1427" s="3">
        <v>47764</v>
      </c>
      <c r="C1427">
        <v>100.0</v>
      </c>
      <c r="D1427">
        <v>3.9375</v>
      </c>
      <c r="E1427">
        <v>0.0</v>
      </c>
      <c r="F1427">
        <v>3.9375</v>
      </c>
    </row>
    <row r="1428" spans="1:6">
      <c r="A1428" s="1" t="s">
        <v>228</v>
      </c>
      <c r="B1428" s="3">
        <v>47946</v>
      </c>
      <c r="C1428">
        <v>100.0</v>
      </c>
      <c r="D1428">
        <v>3.9375</v>
      </c>
      <c r="E1428">
        <v>0.0</v>
      </c>
      <c r="F1428">
        <v>3.9375</v>
      </c>
    </row>
    <row r="1429" spans="1:6">
      <c r="A1429" s="1" t="s">
        <v>228</v>
      </c>
      <c r="B1429" s="3">
        <v>48129</v>
      </c>
      <c r="C1429">
        <v>100.0</v>
      </c>
      <c r="D1429">
        <v>3.9375</v>
      </c>
      <c r="E1429">
        <v>0.0</v>
      </c>
      <c r="F1429">
        <v>3.9375</v>
      </c>
    </row>
    <row r="1430" spans="1:6">
      <c r="A1430" s="1" t="s">
        <v>228</v>
      </c>
      <c r="B1430" s="3">
        <v>48312</v>
      </c>
      <c r="C1430">
        <v>100.0</v>
      </c>
      <c r="D1430">
        <v>3.9375</v>
      </c>
      <c r="E1430">
        <v>0.0</v>
      </c>
      <c r="F1430">
        <v>3.9375</v>
      </c>
    </row>
    <row r="1431" spans="1:6">
      <c r="A1431" s="1" t="s">
        <v>228</v>
      </c>
      <c r="B1431" s="3">
        <v>48495</v>
      </c>
      <c r="C1431">
        <v>100.0</v>
      </c>
      <c r="D1431">
        <v>3.9375</v>
      </c>
      <c r="E1431">
        <v>0.0</v>
      </c>
      <c r="F1431">
        <v>3.9375</v>
      </c>
    </row>
    <row r="1432" spans="1:6">
      <c r="A1432" s="1" t="s">
        <v>228</v>
      </c>
      <c r="B1432" s="3">
        <v>48677</v>
      </c>
      <c r="C1432">
        <v>100.0</v>
      </c>
      <c r="D1432">
        <v>3.9375</v>
      </c>
      <c r="E1432">
        <v>0.0</v>
      </c>
      <c r="F1432">
        <v>3.9375</v>
      </c>
    </row>
    <row r="1433" spans="1:6">
      <c r="A1433" s="1" t="s">
        <v>228</v>
      </c>
      <c r="B1433" s="3">
        <v>48863</v>
      </c>
      <c r="C1433">
        <v>100.0</v>
      </c>
      <c r="D1433">
        <v>3.9375</v>
      </c>
      <c r="E1433">
        <v>0.0</v>
      </c>
      <c r="F1433">
        <v>3.9375</v>
      </c>
    </row>
    <row r="1434" spans="1:6">
      <c r="A1434" s="1" t="s">
        <v>228</v>
      </c>
      <c r="B1434" s="3">
        <v>49044</v>
      </c>
      <c r="C1434">
        <v>100.0</v>
      </c>
      <c r="D1434">
        <v>3.9375</v>
      </c>
      <c r="E1434">
        <v>0.0</v>
      </c>
      <c r="F1434">
        <v>3.9375</v>
      </c>
    </row>
    <row r="1435" spans="1:6">
      <c r="A1435" s="1" t="s">
        <v>228</v>
      </c>
      <c r="B1435" s="3">
        <v>49226</v>
      </c>
      <c r="C1435">
        <v>100.0</v>
      </c>
      <c r="D1435">
        <v>3.9375</v>
      </c>
      <c r="E1435">
        <v>0.0</v>
      </c>
      <c r="F1435">
        <v>3.9375</v>
      </c>
    </row>
    <row r="1436" spans="1:6">
      <c r="A1436" s="1" t="s">
        <v>228</v>
      </c>
      <c r="B1436" s="3">
        <v>49408</v>
      </c>
      <c r="C1436">
        <v>100.0</v>
      </c>
      <c r="D1436">
        <v>3.9375</v>
      </c>
      <c r="E1436">
        <v>0.0</v>
      </c>
      <c r="F1436">
        <v>3.9375</v>
      </c>
    </row>
    <row r="1437" spans="1:6">
      <c r="A1437" s="1" t="s">
        <v>228</v>
      </c>
      <c r="B1437" s="3">
        <v>49590</v>
      </c>
      <c r="C1437">
        <v>100.0</v>
      </c>
      <c r="D1437">
        <v>3.9375</v>
      </c>
      <c r="E1437">
        <v>0.0</v>
      </c>
      <c r="F1437">
        <v>3.9375</v>
      </c>
    </row>
    <row r="1438" spans="1:6">
      <c r="A1438" s="1" t="s">
        <v>228</v>
      </c>
      <c r="B1438" s="3">
        <v>49773</v>
      </c>
      <c r="C1438">
        <v>67.0</v>
      </c>
      <c r="D1438">
        <v>3.9375</v>
      </c>
      <c r="E1438">
        <v>33.0</v>
      </c>
      <c r="F1438">
        <v>36.9375</v>
      </c>
    </row>
    <row r="1439" spans="1:6">
      <c r="A1439" s="1" t="s">
        <v>228</v>
      </c>
      <c r="B1439" s="3">
        <v>49956</v>
      </c>
      <c r="C1439">
        <v>67.0</v>
      </c>
      <c r="D1439">
        <v>2.638125</v>
      </c>
      <c r="E1439">
        <v>0.0</v>
      </c>
      <c r="F1439">
        <v>2.638125</v>
      </c>
    </row>
    <row r="1440" spans="1:6">
      <c r="A1440" s="1" t="s">
        <v>228</v>
      </c>
      <c r="B1440" s="3">
        <v>50138</v>
      </c>
      <c r="C1440">
        <v>34.0</v>
      </c>
      <c r="D1440">
        <v>2.638125</v>
      </c>
      <c r="E1440">
        <v>33.0</v>
      </c>
      <c r="F1440">
        <v>35.638125</v>
      </c>
    </row>
    <row r="1441" spans="1:6">
      <c r="A1441" s="1" t="s">
        <v>228</v>
      </c>
      <c r="B1441" s="3">
        <v>50321</v>
      </c>
      <c r="C1441">
        <v>34.0</v>
      </c>
      <c r="D1441">
        <v>1.33875</v>
      </c>
      <c r="E1441">
        <v>0.0</v>
      </c>
      <c r="F1441">
        <v>1.33875</v>
      </c>
    </row>
    <row r="1442" spans="1:6">
      <c r="A1442" s="1" t="s">
        <v>228</v>
      </c>
      <c r="B1442" s="3">
        <v>50503</v>
      </c>
      <c r="C1442">
        <v>0.0</v>
      </c>
      <c r="D1442">
        <v>1.33875</v>
      </c>
      <c r="E1442">
        <v>34.0</v>
      </c>
      <c r="F1442">
        <v>35.33875</v>
      </c>
    </row>
    <row r="1443" spans="1:6">
      <c r="A1443" s="1" t="s">
        <v>449</v>
      </c>
      <c r="B1443" s="3">
        <v>46405</v>
      </c>
      <c r="C1443">
        <v>100.0</v>
      </c>
      <c r="D1443">
        <v>2.520548</v>
      </c>
      <c r="E1443">
        <v>0.0</v>
      </c>
      <c r="F1443">
        <v>2.520548</v>
      </c>
    </row>
    <row r="1444" spans="1:6">
      <c r="A1444" s="1" t="s">
        <v>449</v>
      </c>
      <c r="B1444" s="3">
        <v>46584</v>
      </c>
      <c r="C1444">
        <v>100.0</v>
      </c>
      <c r="D1444">
        <v>2.479452</v>
      </c>
      <c r="E1444">
        <v>0.0</v>
      </c>
      <c r="F1444">
        <v>2.479452</v>
      </c>
    </row>
    <row r="1445" spans="1:6">
      <c r="A1445" s="1" t="s">
        <v>449</v>
      </c>
      <c r="B1445" s="3">
        <v>46769</v>
      </c>
      <c r="C1445">
        <v>100.0</v>
      </c>
      <c r="D1445">
        <v>2.520548</v>
      </c>
      <c r="E1445">
        <v>0.0</v>
      </c>
      <c r="F1445">
        <v>2.520548</v>
      </c>
    </row>
    <row r="1446" spans="1:6">
      <c r="A1446" s="1" t="s">
        <v>449</v>
      </c>
      <c r="B1446" s="3">
        <v>46951</v>
      </c>
      <c r="C1446">
        <v>100.0</v>
      </c>
      <c r="D1446">
        <v>2.493151</v>
      </c>
      <c r="E1446">
        <v>0.0</v>
      </c>
      <c r="F1446">
        <v>2.493151</v>
      </c>
    </row>
    <row r="1447" spans="1:6">
      <c r="A1447" s="1" t="s">
        <v>449</v>
      </c>
      <c r="B1447" s="3">
        <v>47134</v>
      </c>
      <c r="C1447">
        <v>100.0</v>
      </c>
      <c r="D1447">
        <v>2.520548</v>
      </c>
      <c r="E1447">
        <v>0.0</v>
      </c>
      <c r="F1447">
        <v>2.520548</v>
      </c>
    </row>
    <row r="1448" spans="1:6">
      <c r="A1448" s="1" t="s">
        <v>449</v>
      </c>
      <c r="B1448" s="3">
        <v>47315</v>
      </c>
      <c r="C1448">
        <v>0.0</v>
      </c>
      <c r="D1448">
        <v>2.479452</v>
      </c>
      <c r="E1448">
        <v>100.0</v>
      </c>
      <c r="F1448">
        <v>102.479452</v>
      </c>
    </row>
    <row r="1449" spans="1:6">
      <c r="A1449" s="1" t="s">
        <v>445</v>
      </c>
      <c r="B1449" s="3">
        <v>46295</v>
      </c>
      <c r="C1449">
        <v>100.0</v>
      </c>
      <c r="D1449">
        <v>1.512329</v>
      </c>
      <c r="E1449">
        <v>0.0</v>
      </c>
      <c r="F1449">
        <v>1.512329</v>
      </c>
    </row>
    <row r="1450" spans="1:6">
      <c r="A1450" s="1" t="s">
        <v>445</v>
      </c>
      <c r="B1450" s="3">
        <v>46386</v>
      </c>
      <c r="C1450">
        <v>100.0</v>
      </c>
      <c r="D1450">
        <v>1.49589</v>
      </c>
      <c r="E1450">
        <v>0.0</v>
      </c>
      <c r="F1450">
        <v>1.49589</v>
      </c>
    </row>
    <row r="1451" spans="1:6">
      <c r="A1451" s="1" t="s">
        <v>445</v>
      </c>
      <c r="B1451" s="3">
        <v>46476</v>
      </c>
      <c r="C1451">
        <v>100.0</v>
      </c>
      <c r="D1451">
        <v>1.479452</v>
      </c>
      <c r="E1451">
        <v>0.0</v>
      </c>
      <c r="F1451">
        <v>1.479452</v>
      </c>
    </row>
    <row r="1452" spans="1:6">
      <c r="A1452" s="1" t="s">
        <v>445</v>
      </c>
      <c r="B1452" s="3">
        <v>46574</v>
      </c>
      <c r="C1452">
        <v>0.0</v>
      </c>
      <c r="D1452">
        <v>1.610959</v>
      </c>
      <c r="E1452">
        <v>100.0</v>
      </c>
      <c r="F1452">
        <v>101.610959</v>
      </c>
    </row>
    <row r="1453" spans="1:6">
      <c r="A1453" s="1" t="s">
        <v>238</v>
      </c>
      <c r="B1453" s="3">
        <v>45763</v>
      </c>
      <c r="C1453">
        <v>100.0</v>
      </c>
      <c r="D1453">
        <v>3.9375</v>
      </c>
      <c r="E1453">
        <v>0.0</v>
      </c>
      <c r="F1453">
        <v>3.9375</v>
      </c>
    </row>
    <row r="1454" spans="1:6">
      <c r="A1454" s="1" t="s">
        <v>238</v>
      </c>
      <c r="B1454" s="3">
        <v>45946</v>
      </c>
      <c r="C1454">
        <v>100.0</v>
      </c>
      <c r="D1454">
        <v>3.9375</v>
      </c>
      <c r="E1454">
        <v>0.0</v>
      </c>
      <c r="F1454">
        <v>3.9375</v>
      </c>
    </row>
    <row r="1455" spans="1:6">
      <c r="A1455" s="1" t="s">
        <v>238</v>
      </c>
      <c r="B1455" s="3">
        <v>46128</v>
      </c>
      <c r="C1455">
        <v>100.0</v>
      </c>
      <c r="D1455">
        <v>3.9375</v>
      </c>
      <c r="E1455">
        <v>0.0</v>
      </c>
      <c r="F1455">
        <v>3.9375</v>
      </c>
    </row>
    <row r="1456" spans="1:6">
      <c r="A1456" s="1" t="s">
        <v>238</v>
      </c>
      <c r="B1456" s="3">
        <v>46311</v>
      </c>
      <c r="C1456">
        <v>100.0</v>
      </c>
      <c r="D1456">
        <v>3.9375</v>
      </c>
      <c r="E1456">
        <v>0.0</v>
      </c>
      <c r="F1456">
        <v>3.9375</v>
      </c>
    </row>
    <row r="1457" spans="1:6">
      <c r="A1457" s="1" t="s">
        <v>238</v>
      </c>
      <c r="B1457" s="3">
        <v>46493</v>
      </c>
      <c r="C1457">
        <v>100.0</v>
      </c>
      <c r="D1457">
        <v>3.9375</v>
      </c>
      <c r="E1457">
        <v>0.0</v>
      </c>
      <c r="F1457">
        <v>3.9375</v>
      </c>
    </row>
    <row r="1458" spans="1:6">
      <c r="A1458" s="1" t="s">
        <v>238</v>
      </c>
      <c r="B1458" s="3">
        <v>46678</v>
      </c>
      <c r="C1458">
        <v>100.0</v>
      </c>
      <c r="D1458">
        <v>3.9375</v>
      </c>
      <c r="E1458">
        <v>0.0</v>
      </c>
      <c r="F1458">
        <v>3.9375</v>
      </c>
    </row>
    <row r="1459" spans="1:6">
      <c r="A1459" s="1" t="s">
        <v>238</v>
      </c>
      <c r="B1459" s="3">
        <v>46860</v>
      </c>
      <c r="C1459">
        <v>100.0</v>
      </c>
      <c r="D1459">
        <v>3.9375</v>
      </c>
      <c r="E1459">
        <v>0.0</v>
      </c>
      <c r="F1459">
        <v>3.9375</v>
      </c>
    </row>
    <row r="1460" spans="1:6">
      <c r="A1460" s="1" t="s">
        <v>238</v>
      </c>
      <c r="B1460" s="3">
        <v>47042</v>
      </c>
      <c r="C1460">
        <v>100.0</v>
      </c>
      <c r="D1460">
        <v>3.9375</v>
      </c>
      <c r="E1460">
        <v>0.0</v>
      </c>
      <c r="F1460">
        <v>3.9375</v>
      </c>
    </row>
    <row r="1461" spans="1:6">
      <c r="A1461" s="1" t="s">
        <v>238</v>
      </c>
      <c r="B1461" s="3">
        <v>47224</v>
      </c>
      <c r="C1461">
        <v>100.0</v>
      </c>
      <c r="D1461">
        <v>3.9375</v>
      </c>
      <c r="E1461">
        <v>0.0</v>
      </c>
      <c r="F1461">
        <v>3.9375</v>
      </c>
    </row>
    <row r="1462" spans="1:6">
      <c r="A1462" s="1" t="s">
        <v>238</v>
      </c>
      <c r="B1462" s="3">
        <v>47407</v>
      </c>
      <c r="C1462">
        <v>100.0</v>
      </c>
      <c r="D1462">
        <v>3.9375</v>
      </c>
      <c r="E1462">
        <v>0.0</v>
      </c>
      <c r="F1462">
        <v>3.9375</v>
      </c>
    </row>
    <row r="1463" spans="1:6">
      <c r="A1463" s="1" t="s">
        <v>238</v>
      </c>
      <c r="B1463" s="3">
        <v>47589</v>
      </c>
      <c r="C1463">
        <v>100.0</v>
      </c>
      <c r="D1463">
        <v>3.9375</v>
      </c>
      <c r="E1463">
        <v>0.0</v>
      </c>
      <c r="F1463">
        <v>3.9375</v>
      </c>
    </row>
    <row r="1464" spans="1:6">
      <c r="A1464" s="1" t="s">
        <v>238</v>
      </c>
      <c r="B1464" s="3">
        <v>47772</v>
      </c>
      <c r="C1464">
        <v>67.0</v>
      </c>
      <c r="D1464">
        <v>3.9375</v>
      </c>
      <c r="E1464">
        <v>33.0</v>
      </c>
      <c r="F1464">
        <v>36.9375</v>
      </c>
    </row>
    <row r="1465" spans="1:6">
      <c r="A1465" s="1" t="s">
        <v>238</v>
      </c>
      <c r="B1465" s="3">
        <v>47954</v>
      </c>
      <c r="C1465">
        <v>67.0</v>
      </c>
      <c r="D1465">
        <v>2.638125</v>
      </c>
      <c r="E1465">
        <v>0.0</v>
      </c>
      <c r="F1465">
        <v>2.638125</v>
      </c>
    </row>
    <row r="1466" spans="1:6">
      <c r="A1466" s="1" t="s">
        <v>238</v>
      </c>
      <c r="B1466" s="3">
        <v>48137</v>
      </c>
      <c r="C1466">
        <v>34.0</v>
      </c>
      <c r="D1466">
        <v>2.638125</v>
      </c>
      <c r="E1466">
        <v>33.0</v>
      </c>
      <c r="F1466">
        <v>35.638125</v>
      </c>
    </row>
    <row r="1467" spans="1:6">
      <c r="A1467" s="1" t="s">
        <v>238</v>
      </c>
      <c r="B1467" s="3">
        <v>48320</v>
      </c>
      <c r="C1467">
        <v>34.0</v>
      </c>
      <c r="D1467">
        <v>1.33875</v>
      </c>
      <c r="E1467">
        <v>0.0</v>
      </c>
      <c r="F1467">
        <v>1.33875</v>
      </c>
    </row>
    <row r="1468" spans="1:6">
      <c r="A1468" s="1" t="s">
        <v>238</v>
      </c>
      <c r="B1468" s="3">
        <v>48505</v>
      </c>
      <c r="C1468">
        <v>0.0</v>
      </c>
      <c r="D1468">
        <v>1.33875</v>
      </c>
      <c r="E1468">
        <v>34.0</v>
      </c>
      <c r="F1468">
        <v>35.33875</v>
      </c>
    </row>
    <row r="1469" spans="1:6">
      <c r="A1469" s="1" t="s">
        <v>439</v>
      </c>
      <c r="B1469" s="3">
        <v>46073</v>
      </c>
      <c r="C1469">
        <v>100.0</v>
      </c>
      <c r="D1469">
        <v>4.875</v>
      </c>
      <c r="E1469">
        <v>0.0</v>
      </c>
      <c r="F1469">
        <v>4.875</v>
      </c>
    </row>
    <row r="1470" spans="1:6">
      <c r="A1470" s="1" t="s">
        <v>439</v>
      </c>
      <c r="B1470" s="3">
        <v>46162</v>
      </c>
      <c r="C1470">
        <v>100.0</v>
      </c>
      <c r="D1470">
        <v>1.625</v>
      </c>
      <c r="E1470">
        <v>0.0</v>
      </c>
      <c r="F1470">
        <v>1.625</v>
      </c>
    </row>
    <row r="1471" spans="1:6">
      <c r="A1471" s="1" t="s">
        <v>439</v>
      </c>
      <c r="B1471" s="3">
        <v>46254</v>
      </c>
      <c r="C1471">
        <v>100.0</v>
      </c>
      <c r="D1471">
        <v>1.625</v>
      </c>
      <c r="E1471">
        <v>0.0</v>
      </c>
      <c r="F1471">
        <v>1.625</v>
      </c>
    </row>
    <row r="1472" spans="1:6">
      <c r="A1472" s="1" t="s">
        <v>439</v>
      </c>
      <c r="B1472" s="3">
        <v>46346</v>
      </c>
      <c r="C1472">
        <v>100.0</v>
      </c>
      <c r="D1472">
        <v>1.625</v>
      </c>
      <c r="E1472">
        <v>0.0</v>
      </c>
      <c r="F1472">
        <v>1.625</v>
      </c>
    </row>
    <row r="1473" spans="1:6">
      <c r="A1473" s="1" t="s">
        <v>439</v>
      </c>
      <c r="B1473" s="3">
        <v>46440</v>
      </c>
      <c r="C1473">
        <v>100.0</v>
      </c>
      <c r="D1473">
        <v>1.625</v>
      </c>
      <c r="E1473">
        <v>0.0</v>
      </c>
      <c r="F1473">
        <v>1.625</v>
      </c>
    </row>
    <row r="1474" spans="1:6">
      <c r="A1474" s="1" t="s">
        <v>439</v>
      </c>
      <c r="B1474" s="3">
        <v>46527</v>
      </c>
      <c r="C1474">
        <v>0.0</v>
      </c>
      <c r="D1474">
        <v>1.625</v>
      </c>
      <c r="E1474">
        <v>100.0</v>
      </c>
      <c r="F1474">
        <v>101.625</v>
      </c>
    </row>
    <row r="1475" spans="1:6">
      <c r="A1475" s="1" t="s">
        <v>236</v>
      </c>
      <c r="B1475" s="3">
        <v>45855</v>
      </c>
      <c r="C1475">
        <v>100.0</v>
      </c>
      <c r="D1475">
        <v>4.125</v>
      </c>
      <c r="E1475">
        <v>0.0</v>
      </c>
      <c r="F1475">
        <v>4.125</v>
      </c>
    </row>
    <row r="1476" spans="1:6">
      <c r="A1476" s="1" t="s">
        <v>236</v>
      </c>
      <c r="B1476" s="3">
        <v>46041</v>
      </c>
      <c r="C1476">
        <v>100.0</v>
      </c>
      <c r="D1476">
        <v>4.125</v>
      </c>
      <c r="E1476">
        <v>0.0</v>
      </c>
      <c r="F1476">
        <v>4.125</v>
      </c>
    </row>
    <row r="1477" spans="1:6">
      <c r="A1477" s="1" t="s">
        <v>236</v>
      </c>
      <c r="B1477" s="3">
        <v>46220</v>
      </c>
      <c r="C1477">
        <v>100.0</v>
      </c>
      <c r="D1477">
        <v>4.125</v>
      </c>
      <c r="E1477">
        <v>0.0</v>
      </c>
      <c r="F1477">
        <v>4.125</v>
      </c>
    </row>
    <row r="1478" spans="1:6">
      <c r="A1478" s="1" t="s">
        <v>236</v>
      </c>
      <c r="B1478" s="3">
        <v>46405</v>
      </c>
      <c r="C1478">
        <v>100.0</v>
      </c>
      <c r="D1478">
        <v>4.125</v>
      </c>
      <c r="E1478">
        <v>0.0</v>
      </c>
      <c r="F1478">
        <v>4.125</v>
      </c>
    </row>
    <row r="1479" spans="1:6">
      <c r="A1479" s="1" t="s">
        <v>236</v>
      </c>
      <c r="B1479" s="3">
        <v>46587</v>
      </c>
      <c r="C1479">
        <v>100.0</v>
      </c>
      <c r="D1479">
        <v>4.125</v>
      </c>
      <c r="E1479">
        <v>0.0</v>
      </c>
      <c r="F1479">
        <v>4.125</v>
      </c>
    </row>
    <row r="1480" spans="1:6">
      <c r="A1480" s="1" t="s">
        <v>236</v>
      </c>
      <c r="B1480" s="3">
        <v>46769</v>
      </c>
      <c r="C1480">
        <v>100.0</v>
      </c>
      <c r="D1480">
        <v>4.125</v>
      </c>
      <c r="E1480">
        <v>0.0</v>
      </c>
      <c r="F1480">
        <v>4.125</v>
      </c>
    </row>
    <row r="1481" spans="1:6">
      <c r="A1481" s="1" t="s">
        <v>236</v>
      </c>
      <c r="B1481" s="3">
        <v>46951</v>
      </c>
      <c r="C1481">
        <v>100.0</v>
      </c>
      <c r="D1481">
        <v>4.125</v>
      </c>
      <c r="E1481">
        <v>0.0</v>
      </c>
      <c r="F1481">
        <v>4.125</v>
      </c>
    </row>
    <row r="1482" spans="1:6">
      <c r="A1482" s="1" t="s">
        <v>236</v>
      </c>
      <c r="B1482" s="3">
        <v>47135</v>
      </c>
      <c r="C1482">
        <v>100.0</v>
      </c>
      <c r="D1482">
        <v>4.125</v>
      </c>
      <c r="E1482">
        <v>0.0</v>
      </c>
      <c r="F1482">
        <v>4.125</v>
      </c>
    </row>
    <row r="1483" spans="1:6">
      <c r="A1483" s="1" t="s">
        <v>236</v>
      </c>
      <c r="B1483" s="3">
        <v>47316</v>
      </c>
      <c r="C1483">
        <v>100.0</v>
      </c>
      <c r="D1483">
        <v>4.125</v>
      </c>
      <c r="E1483">
        <v>0.0</v>
      </c>
      <c r="F1483">
        <v>4.125</v>
      </c>
    </row>
    <row r="1484" spans="1:6">
      <c r="A1484" s="1" t="s">
        <v>236</v>
      </c>
      <c r="B1484" s="3">
        <v>47500</v>
      </c>
      <c r="C1484">
        <v>100.0</v>
      </c>
      <c r="D1484">
        <v>4.125</v>
      </c>
      <c r="E1484">
        <v>0.0</v>
      </c>
      <c r="F1484">
        <v>4.125</v>
      </c>
    </row>
    <row r="1485" spans="1:6">
      <c r="A1485" s="1" t="s">
        <v>236</v>
      </c>
      <c r="B1485" s="3">
        <v>47681</v>
      </c>
      <c r="C1485">
        <v>100.0</v>
      </c>
      <c r="D1485">
        <v>4.125</v>
      </c>
      <c r="E1485">
        <v>0.0</v>
      </c>
      <c r="F1485">
        <v>4.125</v>
      </c>
    </row>
    <row r="1486" spans="1:6">
      <c r="A1486" s="1" t="s">
        <v>236</v>
      </c>
      <c r="B1486" s="3">
        <v>47865</v>
      </c>
      <c r="C1486">
        <v>100.0</v>
      </c>
      <c r="D1486">
        <v>4.125</v>
      </c>
      <c r="E1486">
        <v>0.0</v>
      </c>
      <c r="F1486">
        <v>4.125</v>
      </c>
    </row>
    <row r="1487" spans="1:6">
      <c r="A1487" s="1" t="s">
        <v>236</v>
      </c>
      <c r="B1487" s="3">
        <v>48046</v>
      </c>
      <c r="C1487">
        <v>100.0</v>
      </c>
      <c r="D1487">
        <v>4.125</v>
      </c>
      <c r="E1487">
        <v>0.0</v>
      </c>
      <c r="F1487">
        <v>4.125</v>
      </c>
    </row>
    <row r="1488" spans="1:6">
      <c r="A1488" s="1" t="s">
        <v>236</v>
      </c>
      <c r="B1488" s="3">
        <v>48232</v>
      </c>
      <c r="C1488">
        <v>70.0</v>
      </c>
      <c r="D1488">
        <v>4.125</v>
      </c>
      <c r="E1488">
        <v>30.0</v>
      </c>
      <c r="F1488">
        <v>34.125</v>
      </c>
    </row>
    <row r="1489" spans="1:6">
      <c r="A1489" s="1" t="s">
        <v>236</v>
      </c>
      <c r="B1489" s="3">
        <v>48414</v>
      </c>
      <c r="C1489">
        <v>70.0</v>
      </c>
      <c r="D1489">
        <v>2.8875</v>
      </c>
      <c r="E1489">
        <v>0.0</v>
      </c>
      <c r="F1489">
        <v>2.8875</v>
      </c>
    </row>
    <row r="1490" spans="1:6">
      <c r="A1490" s="1" t="s">
        <v>236</v>
      </c>
      <c r="B1490" s="3">
        <v>48596</v>
      </c>
      <c r="C1490">
        <v>40.0</v>
      </c>
      <c r="D1490">
        <v>2.8875</v>
      </c>
      <c r="E1490">
        <v>30.0</v>
      </c>
      <c r="F1490">
        <v>32.8875</v>
      </c>
    </row>
    <row r="1491" spans="1:6">
      <c r="A1491" s="1" t="s">
        <v>236</v>
      </c>
      <c r="B1491" s="3">
        <v>48778</v>
      </c>
      <c r="C1491">
        <v>40.0</v>
      </c>
      <c r="D1491">
        <v>1.65</v>
      </c>
      <c r="E1491">
        <v>0.0</v>
      </c>
      <c r="F1491">
        <v>1.65</v>
      </c>
    </row>
    <row r="1492" spans="1:6">
      <c r="A1492" s="1" t="s">
        <v>236</v>
      </c>
      <c r="B1492" s="3">
        <v>48961</v>
      </c>
      <c r="C1492">
        <v>0.0</v>
      </c>
      <c r="D1492">
        <v>1.65</v>
      </c>
      <c r="E1492">
        <v>40.0</v>
      </c>
      <c r="F1492">
        <v>41.65</v>
      </c>
    </row>
    <row r="1493" spans="1:6">
      <c r="A1493" s="1" t="s">
        <v>437</v>
      </c>
      <c r="B1493" s="3">
        <v>45804</v>
      </c>
      <c r="C1493">
        <v>100.0</v>
      </c>
      <c r="D1493">
        <v>1.523973</v>
      </c>
      <c r="E1493">
        <v>0.0</v>
      </c>
      <c r="F1493">
        <v>1.523973</v>
      </c>
    </row>
    <row r="1494" spans="1:6">
      <c r="A1494" s="1" t="s">
        <v>437</v>
      </c>
      <c r="B1494" s="3">
        <v>45896</v>
      </c>
      <c r="C1494">
        <v>100.0</v>
      </c>
      <c r="D1494">
        <v>1.575342</v>
      </c>
      <c r="E1494">
        <v>0.0</v>
      </c>
      <c r="F1494">
        <v>1.575342</v>
      </c>
    </row>
    <row r="1495" spans="1:6">
      <c r="A1495" s="1" t="s">
        <v>437</v>
      </c>
      <c r="B1495" s="3">
        <v>45988</v>
      </c>
      <c r="C1495">
        <v>100.0</v>
      </c>
      <c r="D1495">
        <v>1.575342</v>
      </c>
      <c r="E1495">
        <v>0.0</v>
      </c>
      <c r="F1495">
        <v>1.575342</v>
      </c>
    </row>
    <row r="1496" spans="1:6">
      <c r="A1496" s="1" t="s">
        <v>437</v>
      </c>
      <c r="B1496" s="3">
        <v>46080</v>
      </c>
      <c r="C1496">
        <v>100.0</v>
      </c>
      <c r="D1496">
        <v>1.575342</v>
      </c>
      <c r="E1496">
        <v>0.0</v>
      </c>
      <c r="F1496">
        <v>1.575342</v>
      </c>
    </row>
    <row r="1497" spans="1:6">
      <c r="A1497" s="1" t="s">
        <v>437</v>
      </c>
      <c r="B1497" s="3">
        <v>46169</v>
      </c>
      <c r="C1497">
        <v>100.0</v>
      </c>
      <c r="D1497">
        <v>1.523973</v>
      </c>
      <c r="E1497">
        <v>0.0</v>
      </c>
      <c r="F1497">
        <v>1.523973</v>
      </c>
    </row>
    <row r="1498" spans="1:6">
      <c r="A1498" s="1" t="s">
        <v>437</v>
      </c>
      <c r="B1498" s="3">
        <v>46261</v>
      </c>
      <c r="C1498">
        <v>100.0</v>
      </c>
      <c r="D1498">
        <v>1.575342</v>
      </c>
      <c r="E1498">
        <v>0.0</v>
      </c>
      <c r="F1498">
        <v>1.575342</v>
      </c>
    </row>
    <row r="1499" spans="1:6">
      <c r="A1499" s="1" t="s">
        <v>437</v>
      </c>
      <c r="B1499" s="3">
        <v>46353</v>
      </c>
      <c r="C1499">
        <v>100.0</v>
      </c>
      <c r="D1499">
        <v>1.575342</v>
      </c>
      <c r="E1499">
        <v>0.0</v>
      </c>
      <c r="F1499">
        <v>1.575342</v>
      </c>
    </row>
    <row r="1500" spans="1:6">
      <c r="A1500" s="1" t="s">
        <v>437</v>
      </c>
      <c r="B1500" s="3">
        <v>46444</v>
      </c>
      <c r="C1500">
        <v>0.0</v>
      </c>
      <c r="D1500">
        <v>1.575342</v>
      </c>
      <c r="E1500">
        <v>100.0</v>
      </c>
      <c r="F1500">
        <v>101.575342</v>
      </c>
    </row>
    <row r="1501" spans="1:6">
      <c r="A1501" s="1" t="s">
        <v>269</v>
      </c>
      <c r="B1501" s="3">
        <v>45876</v>
      </c>
      <c r="C1501">
        <v>100.0</v>
      </c>
      <c r="D1501">
        <v>1.764384</v>
      </c>
      <c r="E1501">
        <v>0.0</v>
      </c>
      <c r="F1501">
        <v>1.764384</v>
      </c>
    </row>
    <row r="1502" spans="1:6">
      <c r="A1502" s="1" t="s">
        <v>269</v>
      </c>
      <c r="B1502" s="3">
        <v>45968</v>
      </c>
      <c r="C1502">
        <v>100.0</v>
      </c>
      <c r="D1502">
        <v>1.764384</v>
      </c>
      <c r="E1502">
        <v>0.0</v>
      </c>
      <c r="F1502">
        <v>1.764384</v>
      </c>
    </row>
    <row r="1503" spans="1:6">
      <c r="A1503" s="1" t="s">
        <v>269</v>
      </c>
      <c r="B1503" s="3">
        <v>46062</v>
      </c>
      <c r="C1503">
        <v>100.0</v>
      </c>
      <c r="D1503">
        <v>1.764384</v>
      </c>
      <c r="E1503">
        <v>0.0</v>
      </c>
      <c r="F1503">
        <v>1.764384</v>
      </c>
    </row>
    <row r="1504" spans="1:6">
      <c r="A1504" s="1" t="s">
        <v>269</v>
      </c>
      <c r="B1504" s="3">
        <v>46149</v>
      </c>
      <c r="C1504">
        <v>100.0</v>
      </c>
      <c r="D1504">
        <v>1.706849</v>
      </c>
      <c r="E1504">
        <v>0.0</v>
      </c>
      <c r="F1504">
        <v>1.706849</v>
      </c>
    </row>
    <row r="1505" spans="1:6">
      <c r="A1505" s="1" t="s">
        <v>269</v>
      </c>
      <c r="B1505" s="3">
        <v>46241</v>
      </c>
      <c r="C1505">
        <v>100.0</v>
      </c>
      <c r="D1505">
        <v>1.764384</v>
      </c>
      <c r="E1505">
        <v>0.0</v>
      </c>
      <c r="F1505">
        <v>1.764384</v>
      </c>
    </row>
    <row r="1506" spans="1:6">
      <c r="A1506" s="1" t="s">
        <v>269</v>
      </c>
      <c r="B1506" s="3">
        <v>46335</v>
      </c>
      <c r="C1506">
        <v>100.0</v>
      </c>
      <c r="D1506">
        <v>1.764384</v>
      </c>
      <c r="E1506">
        <v>0.0</v>
      </c>
      <c r="F1506">
        <v>1.764384</v>
      </c>
    </row>
    <row r="1507" spans="1:6">
      <c r="A1507" s="1" t="s">
        <v>269</v>
      </c>
      <c r="B1507" s="3">
        <v>46428</v>
      </c>
      <c r="C1507">
        <v>100.0</v>
      </c>
      <c r="D1507">
        <v>1.764384</v>
      </c>
      <c r="E1507">
        <v>0.0</v>
      </c>
      <c r="F1507">
        <v>1.764384</v>
      </c>
    </row>
    <row r="1508" spans="1:6">
      <c r="A1508" s="1" t="s">
        <v>269</v>
      </c>
      <c r="B1508" s="3">
        <v>46514</v>
      </c>
      <c r="C1508">
        <v>0.0</v>
      </c>
      <c r="D1508">
        <v>1.706849</v>
      </c>
      <c r="E1508">
        <v>100.0</v>
      </c>
      <c r="F1508">
        <v>101.706849</v>
      </c>
    </row>
    <row r="1509" spans="1:6">
      <c r="A1509" s="1" t="s">
        <v>271</v>
      </c>
      <c r="B1509" s="3">
        <v>45952</v>
      </c>
      <c r="C1509">
        <v>100.0</v>
      </c>
      <c r="D1509">
        <v>1.890411</v>
      </c>
      <c r="E1509">
        <v>0.0</v>
      </c>
      <c r="F1509">
        <v>1.890411</v>
      </c>
    </row>
    <row r="1510" spans="1:6">
      <c r="A1510" s="1" t="s">
        <v>271</v>
      </c>
      <c r="B1510" s="3">
        <v>46044</v>
      </c>
      <c r="C1510">
        <v>100.0</v>
      </c>
      <c r="D1510">
        <v>1.890411</v>
      </c>
      <c r="E1510">
        <v>0.0</v>
      </c>
      <c r="F1510">
        <v>1.890411</v>
      </c>
    </row>
    <row r="1511" spans="1:6">
      <c r="A1511" s="1" t="s">
        <v>271</v>
      </c>
      <c r="B1511" s="3">
        <v>46134</v>
      </c>
      <c r="C1511">
        <v>100.0</v>
      </c>
      <c r="D1511">
        <v>1.849315</v>
      </c>
      <c r="E1511">
        <v>0.0</v>
      </c>
      <c r="F1511">
        <v>1.849315</v>
      </c>
    </row>
    <row r="1512" spans="1:6">
      <c r="A1512" s="1" t="s">
        <v>271</v>
      </c>
      <c r="B1512" s="3">
        <v>46225</v>
      </c>
      <c r="C1512">
        <v>100.0</v>
      </c>
      <c r="D1512">
        <v>1.869863</v>
      </c>
      <c r="E1512">
        <v>0.0</v>
      </c>
      <c r="F1512">
        <v>1.869863</v>
      </c>
    </row>
    <row r="1513" spans="1:6">
      <c r="A1513" s="1" t="s">
        <v>271</v>
      </c>
      <c r="B1513" s="3">
        <v>46317</v>
      </c>
      <c r="C1513">
        <v>100.0</v>
      </c>
      <c r="D1513">
        <v>1.890411</v>
      </c>
      <c r="E1513">
        <v>0.0</v>
      </c>
      <c r="F1513">
        <v>1.890411</v>
      </c>
    </row>
    <row r="1514" spans="1:6">
      <c r="A1514" s="1" t="s">
        <v>271</v>
      </c>
      <c r="B1514" s="3">
        <v>46409</v>
      </c>
      <c r="C1514">
        <v>100.0</v>
      </c>
      <c r="D1514">
        <v>1.890411</v>
      </c>
      <c r="E1514">
        <v>0.0</v>
      </c>
      <c r="F1514">
        <v>1.890411</v>
      </c>
    </row>
    <row r="1515" spans="1:6">
      <c r="A1515" s="1" t="s">
        <v>271</v>
      </c>
      <c r="B1515" s="3">
        <v>46499</v>
      </c>
      <c r="C1515">
        <v>100.0</v>
      </c>
      <c r="D1515">
        <v>1.849315</v>
      </c>
      <c r="E1515">
        <v>0.0</v>
      </c>
      <c r="F1515">
        <v>1.849315</v>
      </c>
    </row>
    <row r="1516" spans="1:6">
      <c r="A1516" s="1" t="s">
        <v>271</v>
      </c>
      <c r="B1516" s="3">
        <v>46590</v>
      </c>
      <c r="C1516">
        <v>0.0</v>
      </c>
      <c r="D1516">
        <v>1.869863</v>
      </c>
      <c r="E1516">
        <v>100.0</v>
      </c>
      <c r="F1516">
        <v>101.869863</v>
      </c>
    </row>
    <row r="1517" spans="1:6">
      <c r="A1517" s="1" t="s">
        <v>278</v>
      </c>
      <c r="B1517" s="3">
        <v>46044</v>
      </c>
      <c r="C1517">
        <v>100.0</v>
      </c>
      <c r="D1517">
        <v>4.410959</v>
      </c>
      <c r="E1517">
        <v>0.0</v>
      </c>
      <c r="F1517">
        <v>4.410959</v>
      </c>
    </row>
    <row r="1518" spans="1:6">
      <c r="A1518" s="1" t="s">
        <v>278</v>
      </c>
      <c r="B1518" s="3">
        <v>46225</v>
      </c>
      <c r="C1518">
        <v>100.0</v>
      </c>
      <c r="D1518">
        <v>4.339041</v>
      </c>
      <c r="E1518">
        <v>0.0</v>
      </c>
      <c r="F1518">
        <v>4.339041</v>
      </c>
    </row>
    <row r="1519" spans="1:6">
      <c r="A1519" s="1" t="s">
        <v>278</v>
      </c>
      <c r="B1519" s="3">
        <v>46409</v>
      </c>
      <c r="C1519">
        <v>100.0</v>
      </c>
      <c r="D1519">
        <v>4.410959</v>
      </c>
      <c r="E1519">
        <v>0.0</v>
      </c>
      <c r="F1519">
        <v>4.410959</v>
      </c>
    </row>
    <row r="1520" spans="1:6">
      <c r="A1520" s="1" t="s">
        <v>278</v>
      </c>
      <c r="B1520" s="3">
        <v>46590</v>
      </c>
      <c r="C1520">
        <v>100.0</v>
      </c>
      <c r="D1520">
        <v>4.339041</v>
      </c>
      <c r="E1520">
        <v>0.0</v>
      </c>
      <c r="F1520">
        <v>4.339041</v>
      </c>
    </row>
    <row r="1521" spans="1:6">
      <c r="A1521" s="1" t="s">
        <v>278</v>
      </c>
      <c r="B1521" s="3">
        <v>46776</v>
      </c>
      <c r="C1521">
        <v>100.0</v>
      </c>
      <c r="D1521">
        <v>4.410959</v>
      </c>
      <c r="E1521">
        <v>0.0</v>
      </c>
      <c r="F1521">
        <v>4.410959</v>
      </c>
    </row>
    <row r="1522" spans="1:6">
      <c r="A1522" s="1" t="s">
        <v>278</v>
      </c>
      <c r="B1522" s="3">
        <v>46958</v>
      </c>
      <c r="C1522">
        <v>100.0</v>
      </c>
      <c r="D1522">
        <v>4.363014</v>
      </c>
      <c r="E1522">
        <v>0.0</v>
      </c>
      <c r="F1522">
        <v>4.363014</v>
      </c>
    </row>
    <row r="1523" spans="1:6">
      <c r="A1523" s="1" t="s">
        <v>278</v>
      </c>
      <c r="B1523" s="3">
        <v>47140</v>
      </c>
      <c r="C1523">
        <v>100.0</v>
      </c>
      <c r="D1523">
        <v>4.410959</v>
      </c>
      <c r="E1523">
        <v>0.0</v>
      </c>
      <c r="F1523">
        <v>4.410959</v>
      </c>
    </row>
    <row r="1524" spans="1:6">
      <c r="A1524" s="1" t="s">
        <v>278</v>
      </c>
      <c r="B1524" s="3">
        <v>47322</v>
      </c>
      <c r="C1524">
        <v>100.0</v>
      </c>
      <c r="D1524">
        <v>4.339041</v>
      </c>
      <c r="E1524">
        <v>0.0</v>
      </c>
      <c r="F1524">
        <v>4.339041</v>
      </c>
    </row>
    <row r="1525" spans="1:6">
      <c r="A1525" s="1" t="s">
        <v>278</v>
      </c>
      <c r="B1525" s="3">
        <v>47505</v>
      </c>
      <c r="C1525">
        <v>100.0</v>
      </c>
      <c r="D1525">
        <v>4.410959</v>
      </c>
      <c r="E1525">
        <v>0.0</v>
      </c>
      <c r="F1525">
        <v>4.410959</v>
      </c>
    </row>
    <row r="1526" spans="1:6">
      <c r="A1526" s="1" t="s">
        <v>278</v>
      </c>
      <c r="B1526" s="3">
        <v>47686</v>
      </c>
      <c r="C1526">
        <v>0.0</v>
      </c>
      <c r="D1526">
        <v>4.339041</v>
      </c>
      <c r="E1526">
        <v>100.0</v>
      </c>
      <c r="F1526">
        <v>104.339041</v>
      </c>
    </row>
    <row r="1527" spans="1:6">
      <c r="A1527" s="1" t="s">
        <v>275</v>
      </c>
      <c r="B1527" s="3">
        <v>46175</v>
      </c>
      <c r="C1527">
        <v>100.0</v>
      </c>
      <c r="D1527">
        <v>3.490411</v>
      </c>
      <c r="E1527">
        <v>0.0</v>
      </c>
      <c r="F1527">
        <v>3.490411</v>
      </c>
    </row>
    <row r="1528" spans="1:6">
      <c r="A1528" s="1" t="s">
        <v>275</v>
      </c>
      <c r="B1528" s="3">
        <v>46358</v>
      </c>
      <c r="C1528">
        <v>100.0</v>
      </c>
      <c r="D1528">
        <v>3.509589</v>
      </c>
      <c r="E1528">
        <v>0.0</v>
      </c>
      <c r="F1528">
        <v>3.509589</v>
      </c>
    </row>
    <row r="1529" spans="1:6">
      <c r="A1529" s="1" t="s">
        <v>275</v>
      </c>
      <c r="B1529" s="3">
        <v>46540</v>
      </c>
      <c r="C1529">
        <v>100.0</v>
      </c>
      <c r="D1529">
        <v>3.490411</v>
      </c>
      <c r="E1529">
        <v>0.0</v>
      </c>
      <c r="F1529">
        <v>3.490411</v>
      </c>
    </row>
    <row r="1530" spans="1:6">
      <c r="A1530" s="1" t="s">
        <v>275</v>
      </c>
      <c r="B1530" s="3">
        <v>46723</v>
      </c>
      <c r="C1530">
        <v>100.0</v>
      </c>
      <c r="D1530">
        <v>3.509589</v>
      </c>
      <c r="E1530">
        <v>0.0</v>
      </c>
      <c r="F1530">
        <v>3.509589</v>
      </c>
    </row>
    <row r="1531" spans="1:6">
      <c r="A1531" s="1" t="s">
        <v>275</v>
      </c>
      <c r="B1531" s="3">
        <v>46906</v>
      </c>
      <c r="C1531">
        <v>100.0</v>
      </c>
      <c r="D1531">
        <v>3.509589</v>
      </c>
      <c r="E1531">
        <v>0.0</v>
      </c>
      <c r="F1531">
        <v>3.509589</v>
      </c>
    </row>
    <row r="1532" spans="1:6">
      <c r="A1532" s="1" t="s">
        <v>275</v>
      </c>
      <c r="B1532" s="3">
        <v>47091</v>
      </c>
      <c r="C1532">
        <v>100.0</v>
      </c>
      <c r="D1532">
        <v>3.509589</v>
      </c>
      <c r="E1532">
        <v>0.0</v>
      </c>
      <c r="F1532">
        <v>3.509589</v>
      </c>
    </row>
    <row r="1533" spans="1:6">
      <c r="A1533" s="1" t="s">
        <v>275</v>
      </c>
      <c r="B1533" s="3">
        <v>47179</v>
      </c>
      <c r="C1533">
        <v>0.0</v>
      </c>
      <c r="D1533">
        <v>1.726027</v>
      </c>
      <c r="E1533">
        <v>100.0</v>
      </c>
      <c r="F1533">
        <v>101.726027</v>
      </c>
    </row>
    <row r="1534" spans="1:6">
      <c r="A1534" s="1" t="s">
        <v>276</v>
      </c>
      <c r="B1534" s="3">
        <v>46401</v>
      </c>
      <c r="C1534">
        <v>100.0</v>
      </c>
      <c r="D1534">
        <v>4.143836</v>
      </c>
      <c r="E1534">
        <v>0.0</v>
      </c>
      <c r="F1534">
        <v>4.143836</v>
      </c>
    </row>
    <row r="1535" spans="1:6">
      <c r="A1535" s="1" t="s">
        <v>276</v>
      </c>
      <c r="B1535" s="3">
        <v>46582</v>
      </c>
      <c r="C1535">
        <v>100.0</v>
      </c>
      <c r="D1535">
        <v>2.727397</v>
      </c>
      <c r="E1535">
        <v>0.0</v>
      </c>
      <c r="F1535">
        <v>2.727397</v>
      </c>
    </row>
    <row r="1536" spans="1:6">
      <c r="A1536" s="1" t="s">
        <v>276</v>
      </c>
      <c r="B1536" s="3">
        <v>46766</v>
      </c>
      <c r="C1536">
        <v>100.0</v>
      </c>
      <c r="D1536">
        <v>2.772603</v>
      </c>
      <c r="E1536">
        <v>0.0</v>
      </c>
      <c r="F1536">
        <v>2.772603</v>
      </c>
    </row>
    <row r="1537" spans="1:6">
      <c r="A1537" s="1" t="s">
        <v>276</v>
      </c>
      <c r="B1537" s="3">
        <v>46948</v>
      </c>
      <c r="C1537">
        <v>100.0</v>
      </c>
      <c r="D1537">
        <v>2.742466</v>
      </c>
      <c r="E1537">
        <v>0.0</v>
      </c>
      <c r="F1537">
        <v>2.742466</v>
      </c>
    </row>
    <row r="1538" spans="1:6">
      <c r="A1538" s="1" t="s">
        <v>276</v>
      </c>
      <c r="B1538" s="3">
        <v>47133</v>
      </c>
      <c r="C1538">
        <v>100.0</v>
      </c>
      <c r="D1538">
        <v>2.772603</v>
      </c>
      <c r="E1538">
        <v>0.0</v>
      </c>
      <c r="F1538">
        <v>2.772603</v>
      </c>
    </row>
    <row r="1539" spans="1:6">
      <c r="A1539" s="1" t="s">
        <v>276</v>
      </c>
      <c r="B1539" s="3">
        <v>47315</v>
      </c>
      <c r="C1539">
        <v>100.0</v>
      </c>
      <c r="D1539">
        <v>2.727397</v>
      </c>
      <c r="E1539">
        <v>0.0</v>
      </c>
      <c r="F1539">
        <v>2.727397</v>
      </c>
    </row>
    <row r="1540" spans="1:6">
      <c r="A1540" s="1" t="s">
        <v>276</v>
      </c>
      <c r="B1540" s="3">
        <v>47497</v>
      </c>
      <c r="C1540">
        <v>100.0</v>
      </c>
      <c r="D1540">
        <v>2.772603</v>
      </c>
      <c r="E1540">
        <v>0.0</v>
      </c>
      <c r="F1540">
        <v>2.772603</v>
      </c>
    </row>
    <row r="1541" spans="1:6">
      <c r="A1541" s="1" t="s">
        <v>276</v>
      </c>
      <c r="B1541" s="3">
        <v>47585</v>
      </c>
      <c r="C1541">
        <v>0.0</v>
      </c>
      <c r="D1541">
        <v>1.356164</v>
      </c>
      <c r="E1541">
        <v>100.0</v>
      </c>
      <c r="F1541">
        <v>101.356164</v>
      </c>
    </row>
    <row r="1542" spans="1:6">
      <c r="A1542" s="1" t="s">
        <v>230</v>
      </c>
      <c r="B1542" s="3">
        <v>44377</v>
      </c>
      <c r="C1542">
        <v>100.0</v>
      </c>
      <c r="D1542">
        <v>0.958333</v>
      </c>
      <c r="E1542">
        <v>0.0</v>
      </c>
      <c r="F1542">
        <v>0.958333</v>
      </c>
    </row>
    <row r="1543" spans="1:6">
      <c r="A1543" s="1" t="s">
        <v>230</v>
      </c>
      <c r="B1543" s="3">
        <v>44560</v>
      </c>
      <c r="C1543">
        <v>100.0</v>
      </c>
      <c r="D1543">
        <v>1.25</v>
      </c>
      <c r="E1543">
        <v>0.0</v>
      </c>
      <c r="F1543">
        <v>1.25</v>
      </c>
    </row>
    <row r="1544" spans="1:6">
      <c r="A1544" s="1" t="s">
        <v>230</v>
      </c>
      <c r="B1544" s="3">
        <v>44742</v>
      </c>
      <c r="C1544">
        <v>100.0</v>
      </c>
      <c r="D1544">
        <v>1.25</v>
      </c>
      <c r="E1544">
        <v>0.0</v>
      </c>
      <c r="F1544">
        <v>1.25</v>
      </c>
    </row>
    <row r="1545" spans="1:6">
      <c r="A1545" s="1" t="s">
        <v>230</v>
      </c>
      <c r="B1545" s="3">
        <v>44925</v>
      </c>
      <c r="C1545">
        <v>100.0</v>
      </c>
      <c r="D1545">
        <v>1.25</v>
      </c>
      <c r="E1545">
        <v>0.0</v>
      </c>
      <c r="F1545">
        <v>1.25</v>
      </c>
    </row>
    <row r="1546" spans="1:6">
      <c r="A1546" s="1" t="s">
        <v>230</v>
      </c>
      <c r="B1546" s="3">
        <v>45107</v>
      </c>
      <c r="C1546">
        <v>100.0</v>
      </c>
      <c r="D1546">
        <v>4.5</v>
      </c>
      <c r="E1546">
        <v>0.0</v>
      </c>
      <c r="F1546">
        <v>4.5</v>
      </c>
    </row>
    <row r="1547" spans="1:6">
      <c r="A1547" s="1" t="s">
        <v>230</v>
      </c>
      <c r="B1547" s="3">
        <v>45293</v>
      </c>
      <c r="C1547">
        <v>100.0</v>
      </c>
      <c r="D1547">
        <v>4.5</v>
      </c>
      <c r="E1547">
        <v>0.0</v>
      </c>
      <c r="F1547">
        <v>4.5</v>
      </c>
    </row>
    <row r="1548" spans="1:6">
      <c r="A1548" s="1" t="s">
        <v>230</v>
      </c>
      <c r="B1548" s="3">
        <v>45474</v>
      </c>
      <c r="C1548">
        <v>100.0</v>
      </c>
      <c r="D1548">
        <v>4.5</v>
      </c>
      <c r="E1548">
        <v>0.0</v>
      </c>
      <c r="F1548">
        <v>4.5</v>
      </c>
    </row>
    <row r="1549" spans="1:6">
      <c r="A1549" s="1" t="s">
        <v>230</v>
      </c>
      <c r="B1549" s="3">
        <v>45656</v>
      </c>
      <c r="C1549">
        <v>100.0</v>
      </c>
      <c r="D1549">
        <v>4.5</v>
      </c>
      <c r="E1549">
        <v>0.0</v>
      </c>
      <c r="F1549">
        <v>4.5</v>
      </c>
    </row>
    <row r="1550" spans="1:6">
      <c r="A1550" s="1" t="s">
        <v>230</v>
      </c>
      <c r="B1550" s="3">
        <v>45838</v>
      </c>
      <c r="C1550">
        <v>100.0</v>
      </c>
      <c r="D1550">
        <v>4.5</v>
      </c>
      <c r="E1550">
        <v>0.0</v>
      </c>
      <c r="F1550">
        <v>4.5</v>
      </c>
    </row>
    <row r="1551" spans="1:6">
      <c r="A1551" s="1" t="s">
        <v>230</v>
      </c>
      <c r="B1551" s="3">
        <v>46021</v>
      </c>
      <c r="C1551">
        <v>100.0</v>
      </c>
      <c r="D1551">
        <v>4.5</v>
      </c>
      <c r="E1551">
        <v>0.0</v>
      </c>
      <c r="F1551">
        <v>4.5</v>
      </c>
    </row>
    <row r="1552" spans="1:6">
      <c r="A1552" s="1" t="s">
        <v>230</v>
      </c>
      <c r="B1552" s="3">
        <v>46203</v>
      </c>
      <c r="C1552">
        <v>85.7143</v>
      </c>
      <c r="D1552">
        <v>4.5</v>
      </c>
      <c r="E1552">
        <v>14.285714</v>
      </c>
      <c r="F1552">
        <v>18.785714</v>
      </c>
    </row>
    <row r="1553" spans="1:6">
      <c r="A1553" s="1" t="s">
        <v>230</v>
      </c>
      <c r="B1553" s="3">
        <v>46386</v>
      </c>
      <c r="C1553">
        <v>71.4286</v>
      </c>
      <c r="D1553">
        <v>3.857143</v>
      </c>
      <c r="E1553">
        <v>14.285714</v>
      </c>
      <c r="F1553">
        <v>18.142857</v>
      </c>
    </row>
    <row r="1554" spans="1:6">
      <c r="A1554" s="1" t="s">
        <v>230</v>
      </c>
      <c r="B1554" s="3">
        <v>46568</v>
      </c>
      <c r="C1554">
        <v>57.1429</v>
      </c>
      <c r="D1554">
        <v>3.214286</v>
      </c>
      <c r="E1554">
        <v>14.285714</v>
      </c>
      <c r="F1554">
        <v>17.5</v>
      </c>
    </row>
    <row r="1555" spans="1:6">
      <c r="A1555" s="1" t="s">
        <v>230</v>
      </c>
      <c r="B1555" s="3">
        <v>46751</v>
      </c>
      <c r="C1555">
        <v>42.8571</v>
      </c>
      <c r="D1555">
        <v>2.571429</v>
      </c>
      <c r="E1555">
        <v>14.285714</v>
      </c>
      <c r="F1555">
        <v>16.857143</v>
      </c>
    </row>
    <row r="1556" spans="1:6">
      <c r="A1556" s="1" t="s">
        <v>230</v>
      </c>
      <c r="B1556" s="3">
        <v>46934</v>
      </c>
      <c r="C1556">
        <v>28.5714</v>
      </c>
      <c r="D1556">
        <v>1.928571</v>
      </c>
      <c r="E1556">
        <v>14.285714</v>
      </c>
      <c r="F1556">
        <v>16.214285</v>
      </c>
    </row>
    <row r="1557" spans="1:6">
      <c r="A1557" s="1" t="s">
        <v>230</v>
      </c>
      <c r="B1557" s="3">
        <v>47120</v>
      </c>
      <c r="C1557">
        <v>14.2857</v>
      </c>
      <c r="D1557">
        <v>1.285714</v>
      </c>
      <c r="E1557">
        <v>14.285714</v>
      </c>
      <c r="F1557">
        <v>15.571428</v>
      </c>
    </row>
    <row r="1558" spans="1:6">
      <c r="A1558" s="1" t="s">
        <v>230</v>
      </c>
      <c r="B1558" s="3">
        <v>47301</v>
      </c>
      <c r="C1558">
        <v>0.0</v>
      </c>
      <c r="D1558">
        <v>0.642857</v>
      </c>
      <c r="E1558">
        <v>14.285716</v>
      </c>
      <c r="F1558">
        <v>14.928573</v>
      </c>
    </row>
    <row r="1559" spans="1:6">
      <c r="A1559" s="1" t="s">
        <v>234</v>
      </c>
      <c r="B1559" s="3">
        <v>44285</v>
      </c>
      <c r="C1559">
        <v>100.0</v>
      </c>
      <c r="D1559">
        <v>0.2</v>
      </c>
      <c r="E1559">
        <v>0.0</v>
      </c>
      <c r="F1559">
        <v>0.2</v>
      </c>
    </row>
    <row r="1560" spans="1:6">
      <c r="A1560" s="1" t="s">
        <v>234</v>
      </c>
      <c r="B1560" s="3">
        <v>44469</v>
      </c>
      <c r="C1560">
        <v>100.0</v>
      </c>
      <c r="D1560">
        <v>0.75</v>
      </c>
      <c r="E1560">
        <v>0.0</v>
      </c>
      <c r="F1560">
        <v>0.75</v>
      </c>
    </row>
    <row r="1561" spans="1:6">
      <c r="A1561" s="1" t="s">
        <v>234</v>
      </c>
      <c r="B1561" s="3">
        <v>44650</v>
      </c>
      <c r="C1561">
        <v>100.0</v>
      </c>
      <c r="D1561">
        <v>0.75</v>
      </c>
      <c r="E1561">
        <v>0.0</v>
      </c>
      <c r="F1561">
        <v>0.75</v>
      </c>
    </row>
    <row r="1562" spans="1:6">
      <c r="A1562" s="1" t="s">
        <v>234</v>
      </c>
      <c r="B1562" s="3">
        <v>44834</v>
      </c>
      <c r="C1562">
        <v>100.0</v>
      </c>
      <c r="D1562">
        <v>0.75</v>
      </c>
      <c r="E1562">
        <v>0.0</v>
      </c>
      <c r="F1562">
        <v>0.75</v>
      </c>
    </row>
    <row r="1563" spans="1:6">
      <c r="A1563" s="1" t="s">
        <v>234</v>
      </c>
      <c r="B1563" s="3">
        <v>45015</v>
      </c>
      <c r="C1563">
        <v>100.0</v>
      </c>
      <c r="D1563">
        <v>2.109722</v>
      </c>
      <c r="E1563">
        <v>0.0</v>
      </c>
      <c r="F1563">
        <v>2.109722</v>
      </c>
    </row>
    <row r="1564" spans="1:6">
      <c r="A1564" s="1" t="s">
        <v>234</v>
      </c>
      <c r="B1564" s="3">
        <v>45201</v>
      </c>
      <c r="C1564">
        <v>100.0</v>
      </c>
      <c r="D1564">
        <v>3.5</v>
      </c>
      <c r="E1564">
        <v>0.0</v>
      </c>
      <c r="F1564">
        <v>3.5</v>
      </c>
    </row>
    <row r="1565" spans="1:6">
      <c r="A1565" s="1" t="s">
        <v>234</v>
      </c>
      <c r="B1565" s="3">
        <v>45385</v>
      </c>
      <c r="C1565">
        <v>100.0</v>
      </c>
      <c r="D1565">
        <v>3.5</v>
      </c>
      <c r="E1565">
        <v>0.0</v>
      </c>
      <c r="F1565">
        <v>3.5</v>
      </c>
    </row>
    <row r="1566" spans="1:6">
      <c r="A1566" s="1" t="s">
        <v>234</v>
      </c>
      <c r="B1566" s="3">
        <v>45565</v>
      </c>
      <c r="C1566">
        <v>100.0</v>
      </c>
      <c r="D1566">
        <v>3.5</v>
      </c>
      <c r="E1566">
        <v>0.0</v>
      </c>
      <c r="F1566">
        <v>3.5</v>
      </c>
    </row>
    <row r="1567" spans="1:6">
      <c r="A1567" s="1" t="s">
        <v>234</v>
      </c>
      <c r="B1567" s="3">
        <v>45747</v>
      </c>
      <c r="C1567">
        <v>100.0</v>
      </c>
      <c r="D1567">
        <v>3.5</v>
      </c>
      <c r="E1567">
        <v>0.0</v>
      </c>
      <c r="F1567">
        <v>3.5</v>
      </c>
    </row>
    <row r="1568" spans="1:6">
      <c r="A1568" s="1" t="s">
        <v>234</v>
      </c>
      <c r="B1568" s="3">
        <v>45930</v>
      </c>
      <c r="C1568">
        <v>100.0</v>
      </c>
      <c r="D1568">
        <v>3.5</v>
      </c>
      <c r="E1568">
        <v>0.0</v>
      </c>
      <c r="F1568">
        <v>3.5</v>
      </c>
    </row>
    <row r="1569" spans="1:6">
      <c r="A1569" s="1" t="s">
        <v>234</v>
      </c>
      <c r="B1569" s="3">
        <v>46111</v>
      </c>
      <c r="C1569">
        <v>100.0</v>
      </c>
      <c r="D1569">
        <v>3.5</v>
      </c>
      <c r="E1569">
        <v>0.0</v>
      </c>
      <c r="F1569">
        <v>3.5</v>
      </c>
    </row>
    <row r="1570" spans="1:6">
      <c r="A1570" s="1" t="s">
        <v>234</v>
      </c>
      <c r="B1570" s="3">
        <v>46295</v>
      </c>
      <c r="C1570">
        <v>100.0</v>
      </c>
      <c r="D1570">
        <v>3.5</v>
      </c>
      <c r="E1570">
        <v>0.0</v>
      </c>
      <c r="F1570">
        <v>3.5</v>
      </c>
    </row>
    <row r="1571" spans="1:6">
      <c r="A1571" s="1" t="s">
        <v>234</v>
      </c>
      <c r="B1571" s="3">
        <v>46476</v>
      </c>
      <c r="C1571">
        <v>100.0</v>
      </c>
      <c r="D1571">
        <v>3.5</v>
      </c>
      <c r="E1571">
        <v>0.0</v>
      </c>
      <c r="F1571">
        <v>3.5</v>
      </c>
    </row>
    <row r="1572" spans="1:6">
      <c r="A1572" s="1" t="s">
        <v>234</v>
      </c>
      <c r="B1572" s="3">
        <v>46660</v>
      </c>
      <c r="C1572">
        <v>100.0</v>
      </c>
      <c r="D1572">
        <v>3.5</v>
      </c>
      <c r="E1572">
        <v>0.0</v>
      </c>
      <c r="F1572">
        <v>3.5</v>
      </c>
    </row>
    <row r="1573" spans="1:6">
      <c r="A1573" s="1" t="s">
        <v>234</v>
      </c>
      <c r="B1573" s="3">
        <v>46842</v>
      </c>
      <c r="C1573">
        <v>100.0</v>
      </c>
      <c r="D1573">
        <v>3.5</v>
      </c>
      <c r="E1573">
        <v>0.0</v>
      </c>
      <c r="F1573">
        <v>3.5</v>
      </c>
    </row>
    <row r="1574" spans="1:6">
      <c r="A1574" s="1" t="s">
        <v>234</v>
      </c>
      <c r="B1574" s="3">
        <v>47028</v>
      </c>
      <c r="C1574">
        <v>100.0</v>
      </c>
      <c r="D1574">
        <v>3.5</v>
      </c>
      <c r="E1574">
        <v>0.0</v>
      </c>
      <c r="F1574">
        <v>3.5</v>
      </c>
    </row>
    <row r="1575" spans="1:6">
      <c r="A1575" s="1" t="s">
        <v>234</v>
      </c>
      <c r="B1575" s="3">
        <v>47207</v>
      </c>
      <c r="C1575">
        <v>100.0</v>
      </c>
      <c r="D1575">
        <v>3.5</v>
      </c>
      <c r="E1575">
        <v>0.0</v>
      </c>
      <c r="F1575">
        <v>3.5</v>
      </c>
    </row>
    <row r="1576" spans="1:6">
      <c r="A1576" s="1" t="s">
        <v>234</v>
      </c>
      <c r="B1576" s="3">
        <v>47392</v>
      </c>
      <c r="C1576">
        <v>100.0</v>
      </c>
      <c r="D1576">
        <v>3.5</v>
      </c>
      <c r="E1576">
        <v>0.0</v>
      </c>
      <c r="F1576">
        <v>3.5</v>
      </c>
    </row>
    <row r="1577" spans="1:6">
      <c r="A1577" s="1" t="s">
        <v>234</v>
      </c>
      <c r="B1577" s="3">
        <v>47574</v>
      </c>
      <c r="C1577">
        <v>100.0</v>
      </c>
      <c r="D1577">
        <v>3.5</v>
      </c>
      <c r="E1577">
        <v>0.0</v>
      </c>
      <c r="F1577">
        <v>3.5</v>
      </c>
    </row>
    <row r="1578" spans="1:6">
      <c r="A1578" s="1" t="s">
        <v>234</v>
      </c>
      <c r="B1578" s="3">
        <v>47756</v>
      </c>
      <c r="C1578">
        <v>75.0</v>
      </c>
      <c r="D1578">
        <v>3.5</v>
      </c>
      <c r="E1578">
        <v>25.0</v>
      </c>
      <c r="F1578">
        <v>28.5</v>
      </c>
    </row>
    <row r="1579" spans="1:6">
      <c r="A1579" s="1" t="s">
        <v>234</v>
      </c>
      <c r="B1579" s="3">
        <v>47938</v>
      </c>
      <c r="C1579">
        <v>75.0</v>
      </c>
      <c r="D1579">
        <v>2.625</v>
      </c>
      <c r="E1579">
        <v>0.0</v>
      </c>
      <c r="F1579">
        <v>2.625</v>
      </c>
    </row>
    <row r="1580" spans="1:6">
      <c r="A1580" s="1" t="s">
        <v>234</v>
      </c>
      <c r="B1580" s="3">
        <v>48121</v>
      </c>
      <c r="C1580">
        <v>50.0</v>
      </c>
      <c r="D1580">
        <v>2.625</v>
      </c>
      <c r="E1580">
        <v>25.0</v>
      </c>
      <c r="F1580">
        <v>27.625</v>
      </c>
    </row>
    <row r="1581" spans="1:6">
      <c r="A1581" s="1" t="s">
        <v>234</v>
      </c>
      <c r="B1581" s="3">
        <v>48303</v>
      </c>
      <c r="C1581">
        <v>50.0</v>
      </c>
      <c r="D1581">
        <v>1.75</v>
      </c>
      <c r="E1581">
        <v>0.0</v>
      </c>
      <c r="F1581">
        <v>1.75</v>
      </c>
    </row>
    <row r="1582" spans="1:6">
      <c r="A1582" s="1" t="s">
        <v>234</v>
      </c>
      <c r="B1582" s="3">
        <v>48487</v>
      </c>
      <c r="C1582">
        <v>25.0</v>
      </c>
      <c r="D1582">
        <v>1.75</v>
      </c>
      <c r="E1582">
        <v>25.0</v>
      </c>
      <c r="F1582">
        <v>26.75</v>
      </c>
    </row>
    <row r="1583" spans="1:6">
      <c r="A1583" s="1" t="s">
        <v>234</v>
      </c>
      <c r="B1583" s="3">
        <v>48668</v>
      </c>
      <c r="C1583">
        <v>25.0</v>
      </c>
      <c r="D1583">
        <v>0.875</v>
      </c>
      <c r="E1583">
        <v>0.0</v>
      </c>
      <c r="F1583">
        <v>0.875</v>
      </c>
    </row>
    <row r="1584" spans="1:6">
      <c r="A1584" s="1" t="s">
        <v>234</v>
      </c>
      <c r="B1584" s="3">
        <v>48852</v>
      </c>
      <c r="C1584">
        <v>0.0</v>
      </c>
      <c r="D1584">
        <v>0.875</v>
      </c>
      <c r="E1584">
        <v>25.0</v>
      </c>
      <c r="F1584">
        <v>25.875</v>
      </c>
    </row>
    <row r="1585" spans="1:6">
      <c r="A1585" s="1" t="s">
        <v>232</v>
      </c>
      <c r="B1585" s="3">
        <v>45727</v>
      </c>
      <c r="C1585">
        <v>100.0</v>
      </c>
      <c r="D1585">
        <v>4.375</v>
      </c>
      <c r="E1585">
        <v>0.0</v>
      </c>
      <c r="F1585">
        <v>4.375</v>
      </c>
    </row>
    <row r="1586" spans="1:6">
      <c r="A1586" s="1" t="s">
        <v>232</v>
      </c>
      <c r="B1586" s="3">
        <v>45911</v>
      </c>
      <c r="C1586">
        <v>100.0</v>
      </c>
      <c r="D1586">
        <v>4.375</v>
      </c>
      <c r="E1586">
        <v>0.0</v>
      </c>
      <c r="F1586">
        <v>4.375</v>
      </c>
    </row>
    <row r="1587" spans="1:6">
      <c r="A1587" s="1" t="s">
        <v>232</v>
      </c>
      <c r="B1587" s="3">
        <v>46092</v>
      </c>
      <c r="C1587">
        <v>100.0</v>
      </c>
      <c r="D1587">
        <v>4.375</v>
      </c>
      <c r="E1587">
        <v>0.0</v>
      </c>
      <c r="F1587">
        <v>4.375</v>
      </c>
    </row>
    <row r="1588" spans="1:6">
      <c r="A1588" s="1" t="s">
        <v>232</v>
      </c>
      <c r="B1588" s="3">
        <v>46276</v>
      </c>
      <c r="C1588">
        <v>100.0</v>
      </c>
      <c r="D1588">
        <v>4.375</v>
      </c>
      <c r="E1588">
        <v>0.0</v>
      </c>
      <c r="F1588">
        <v>4.375</v>
      </c>
    </row>
    <row r="1589" spans="1:6">
      <c r="A1589" s="1" t="s">
        <v>232</v>
      </c>
      <c r="B1589" s="3">
        <v>46457</v>
      </c>
      <c r="C1589">
        <v>100.0</v>
      </c>
      <c r="D1589">
        <v>4.375</v>
      </c>
      <c r="E1589">
        <v>0.0</v>
      </c>
      <c r="F1589">
        <v>4.375</v>
      </c>
    </row>
    <row r="1590" spans="1:6">
      <c r="A1590" s="1" t="s">
        <v>232</v>
      </c>
      <c r="B1590" s="3">
        <v>46643</v>
      </c>
      <c r="C1590">
        <v>100.0</v>
      </c>
      <c r="D1590">
        <v>4.375</v>
      </c>
      <c r="E1590">
        <v>0.0</v>
      </c>
      <c r="F1590">
        <v>4.375</v>
      </c>
    </row>
    <row r="1591" spans="1:6">
      <c r="A1591" s="1" t="s">
        <v>232</v>
      </c>
      <c r="B1591" s="3">
        <v>46825</v>
      </c>
      <c r="C1591">
        <v>100.0</v>
      </c>
      <c r="D1591">
        <v>4.375</v>
      </c>
      <c r="E1591">
        <v>0.0</v>
      </c>
      <c r="F1591">
        <v>4.375</v>
      </c>
    </row>
    <row r="1592" spans="1:6">
      <c r="A1592" s="1" t="s">
        <v>232</v>
      </c>
      <c r="B1592" s="3">
        <v>47007</v>
      </c>
      <c r="C1592">
        <v>100.0</v>
      </c>
      <c r="D1592">
        <v>4.375</v>
      </c>
      <c r="E1592">
        <v>0.0</v>
      </c>
      <c r="F1592">
        <v>4.375</v>
      </c>
    </row>
    <row r="1593" spans="1:6">
      <c r="A1593" s="1" t="s">
        <v>232</v>
      </c>
      <c r="B1593" s="3">
        <v>47189</v>
      </c>
      <c r="C1593">
        <v>100.0</v>
      </c>
      <c r="D1593">
        <v>4.375</v>
      </c>
      <c r="E1593">
        <v>0.0</v>
      </c>
      <c r="F1593">
        <v>4.375</v>
      </c>
    </row>
    <row r="1594" spans="1:6">
      <c r="A1594" s="1" t="s">
        <v>232</v>
      </c>
      <c r="B1594" s="3">
        <v>47372</v>
      </c>
      <c r="C1594">
        <v>80.0</v>
      </c>
      <c r="D1594">
        <v>4.375</v>
      </c>
      <c r="E1594">
        <v>20.0</v>
      </c>
      <c r="F1594">
        <v>24.375</v>
      </c>
    </row>
    <row r="1595" spans="1:6">
      <c r="A1595" s="1" t="s">
        <v>232</v>
      </c>
      <c r="B1595" s="3">
        <v>47553</v>
      </c>
      <c r="C1595">
        <v>80.0</v>
      </c>
      <c r="D1595">
        <v>3.5</v>
      </c>
      <c r="E1595">
        <v>0.0</v>
      </c>
      <c r="F1595">
        <v>3.5</v>
      </c>
    </row>
    <row r="1596" spans="1:6">
      <c r="A1596" s="1" t="s">
        <v>232</v>
      </c>
      <c r="B1596" s="3">
        <v>47737</v>
      </c>
      <c r="C1596">
        <v>60.0</v>
      </c>
      <c r="D1596">
        <v>3.5</v>
      </c>
      <c r="E1596">
        <v>20.0</v>
      </c>
      <c r="F1596">
        <v>23.5</v>
      </c>
    </row>
    <row r="1597" spans="1:6">
      <c r="A1597" s="1" t="s">
        <v>232</v>
      </c>
      <c r="B1597" s="3">
        <v>47918</v>
      </c>
      <c r="C1597">
        <v>60.0</v>
      </c>
      <c r="D1597">
        <v>2.625</v>
      </c>
      <c r="E1597">
        <v>0.0</v>
      </c>
      <c r="F1597">
        <v>2.625</v>
      </c>
    </row>
    <row r="1598" spans="1:6">
      <c r="A1598" s="1" t="s">
        <v>232</v>
      </c>
      <c r="B1598" s="3">
        <v>48102</v>
      </c>
      <c r="C1598">
        <v>0.0</v>
      </c>
      <c r="D1598">
        <v>2.625</v>
      </c>
      <c r="E1598">
        <v>60.0</v>
      </c>
      <c r="F1598">
        <v>62.625</v>
      </c>
    </row>
    <row r="1599" spans="1:6">
      <c r="A1599" s="1" t="s">
        <v>273</v>
      </c>
      <c r="B1599" s="3">
        <v>45848</v>
      </c>
      <c r="C1599">
        <v>100.0</v>
      </c>
      <c r="D1599">
        <v>4.861644</v>
      </c>
      <c r="E1599">
        <v>0.0</v>
      </c>
      <c r="F1599">
        <v>4.861644</v>
      </c>
    </row>
    <row r="1600" spans="1:6">
      <c r="A1600" s="1" t="s">
        <v>273</v>
      </c>
      <c r="B1600" s="3">
        <v>45943</v>
      </c>
      <c r="C1600">
        <v>100.0</v>
      </c>
      <c r="D1600">
        <v>1.638356</v>
      </c>
      <c r="E1600">
        <v>0.0</v>
      </c>
      <c r="F1600">
        <v>1.638356</v>
      </c>
    </row>
    <row r="1601" spans="1:6">
      <c r="A1601" s="1" t="s">
        <v>273</v>
      </c>
      <c r="B1601" s="3">
        <v>46034</v>
      </c>
      <c r="C1601">
        <v>100.0</v>
      </c>
      <c r="D1601">
        <v>1.638356</v>
      </c>
      <c r="E1601">
        <v>0.0</v>
      </c>
      <c r="F1601">
        <v>1.638356</v>
      </c>
    </row>
    <row r="1602" spans="1:6">
      <c r="A1602" s="1" t="s">
        <v>273</v>
      </c>
      <c r="B1602" s="3">
        <v>46122</v>
      </c>
      <c r="C1602">
        <v>100.0</v>
      </c>
      <c r="D1602">
        <v>1.60274</v>
      </c>
      <c r="E1602">
        <v>0.0</v>
      </c>
      <c r="F1602">
        <v>1.60274</v>
      </c>
    </row>
    <row r="1603" spans="1:6">
      <c r="A1603" s="1" t="s">
        <v>273</v>
      </c>
      <c r="B1603" s="3">
        <v>46216</v>
      </c>
      <c r="C1603">
        <v>100.0</v>
      </c>
      <c r="D1603">
        <v>1.620548</v>
      </c>
      <c r="E1603">
        <v>0.0</v>
      </c>
      <c r="F1603">
        <v>1.620548</v>
      </c>
    </row>
    <row r="1604" spans="1:6">
      <c r="A1604" s="1" t="s">
        <v>273</v>
      </c>
      <c r="B1604" s="3">
        <v>46308</v>
      </c>
      <c r="C1604">
        <v>100.0</v>
      </c>
      <c r="D1604">
        <v>1.638356</v>
      </c>
      <c r="E1604">
        <v>0.0</v>
      </c>
      <c r="F1604">
        <v>1.638356</v>
      </c>
    </row>
    <row r="1605" spans="1:6">
      <c r="A1605" s="1" t="s">
        <v>273</v>
      </c>
      <c r="B1605" s="3">
        <v>46398</v>
      </c>
      <c r="C1605">
        <v>100.0</v>
      </c>
      <c r="D1605">
        <v>1.638356</v>
      </c>
      <c r="E1605">
        <v>0.0</v>
      </c>
      <c r="F1605">
        <v>1.638356</v>
      </c>
    </row>
    <row r="1606" spans="1:6">
      <c r="A1606" s="1" t="s">
        <v>273</v>
      </c>
      <c r="B1606" s="3">
        <v>46489</v>
      </c>
      <c r="C1606">
        <v>100.0</v>
      </c>
      <c r="D1606">
        <v>1.60274</v>
      </c>
      <c r="E1606">
        <v>0.0</v>
      </c>
      <c r="F1606">
        <v>1.60274</v>
      </c>
    </row>
    <row r="1607" spans="1:6">
      <c r="A1607" s="1" t="s">
        <v>273</v>
      </c>
      <c r="B1607" s="3">
        <v>46580</v>
      </c>
      <c r="C1607">
        <v>100.0</v>
      </c>
      <c r="D1607">
        <v>1.620548</v>
      </c>
      <c r="E1607">
        <v>0.0</v>
      </c>
      <c r="F1607">
        <v>1.620548</v>
      </c>
    </row>
    <row r="1608" spans="1:6">
      <c r="A1608" s="1" t="s">
        <v>273</v>
      </c>
      <c r="B1608" s="3">
        <v>46671</v>
      </c>
      <c r="C1608">
        <v>100.0</v>
      </c>
      <c r="D1608">
        <v>1.638356</v>
      </c>
      <c r="E1608">
        <v>0.0</v>
      </c>
      <c r="F1608">
        <v>1.638356</v>
      </c>
    </row>
    <row r="1609" spans="1:6">
      <c r="A1609" s="1" t="s">
        <v>273</v>
      </c>
      <c r="B1609" s="3">
        <v>46762</v>
      </c>
      <c r="C1609">
        <v>100.0</v>
      </c>
      <c r="D1609">
        <v>1.638356</v>
      </c>
      <c r="E1609">
        <v>0.0</v>
      </c>
      <c r="F1609">
        <v>1.638356</v>
      </c>
    </row>
    <row r="1610" spans="1:6">
      <c r="A1610" s="1" t="s">
        <v>273</v>
      </c>
      <c r="B1610" s="3">
        <v>46853</v>
      </c>
      <c r="C1610">
        <v>100.0</v>
      </c>
      <c r="D1610">
        <v>1.620548</v>
      </c>
      <c r="E1610">
        <v>0.0</v>
      </c>
      <c r="F1610">
        <v>1.620548</v>
      </c>
    </row>
    <row r="1611" spans="1:6">
      <c r="A1611" s="1" t="s">
        <v>273</v>
      </c>
      <c r="B1611" s="3">
        <v>46944</v>
      </c>
      <c r="C1611">
        <v>100.0</v>
      </c>
      <c r="D1611">
        <v>1.620548</v>
      </c>
      <c r="E1611">
        <v>0.0</v>
      </c>
      <c r="F1611">
        <v>1.620548</v>
      </c>
    </row>
    <row r="1612" spans="1:6">
      <c r="A1612" s="1" t="s">
        <v>273</v>
      </c>
      <c r="B1612" s="3">
        <v>47036</v>
      </c>
      <c r="C1612">
        <v>0.0</v>
      </c>
      <c r="D1612">
        <v>1.638356</v>
      </c>
      <c r="E1612">
        <v>100.0</v>
      </c>
      <c r="F1612">
        <v>101.638356</v>
      </c>
    </row>
    <row r="1613" spans="1:6">
      <c r="A1613" s="1" t="s">
        <v>461</v>
      </c>
      <c r="B1613" s="3">
        <v>46443</v>
      </c>
      <c r="C1613">
        <v>100</v>
      </c>
      <c r="D1613">
        <v>4.185417</v>
      </c>
      <c r="E1613">
        <v>0</v>
      </c>
      <c r="F1613">
        <v>4.185417</v>
      </c>
    </row>
    <row r="1614" spans="1:6">
      <c r="A1614" s="1" t="s">
        <v>461</v>
      </c>
      <c r="B1614" s="3">
        <v>46624</v>
      </c>
      <c r="C1614">
        <v>100</v>
      </c>
      <c r="D1614">
        <v>3.675</v>
      </c>
      <c r="E1614">
        <v>0</v>
      </c>
      <c r="F1614">
        <v>3.675</v>
      </c>
    </row>
    <row r="1615" spans="1:6">
      <c r="A1615" s="1" t="s">
        <v>461</v>
      </c>
      <c r="B1615" s="3">
        <v>46808</v>
      </c>
      <c r="C1615">
        <v>100</v>
      </c>
      <c r="D1615">
        <v>3.675</v>
      </c>
      <c r="E1615">
        <v>0</v>
      </c>
      <c r="F1615">
        <v>3.675</v>
      </c>
    </row>
    <row r="1616" spans="1:6">
      <c r="A1616" s="1" t="s">
        <v>461</v>
      </c>
      <c r="B1616" s="3">
        <v>46990</v>
      </c>
      <c r="C1616">
        <v>100</v>
      </c>
      <c r="D1616">
        <v>3.675</v>
      </c>
      <c r="E1616">
        <v>0</v>
      </c>
      <c r="F1616">
        <v>3.675</v>
      </c>
    </row>
    <row r="1617" spans="1:6">
      <c r="A1617" s="1" t="s">
        <v>461</v>
      </c>
      <c r="B1617" s="3">
        <v>47175</v>
      </c>
      <c r="C1617">
        <v>100</v>
      </c>
      <c r="D1617">
        <v>3.675</v>
      </c>
      <c r="E1617">
        <v>0</v>
      </c>
      <c r="F1617">
        <v>3.675</v>
      </c>
    </row>
    <row r="1618" spans="1:6">
      <c r="A1618" s="1" t="s">
        <v>461</v>
      </c>
      <c r="B1618" s="3">
        <v>47357</v>
      </c>
      <c r="C1618">
        <v>100</v>
      </c>
      <c r="D1618">
        <v>3.675</v>
      </c>
      <c r="E1618">
        <v>0</v>
      </c>
      <c r="F1618">
        <v>3.675</v>
      </c>
    </row>
    <row r="1619" spans="1:6">
      <c r="A1619" s="1" t="s">
        <v>461</v>
      </c>
      <c r="B1619" s="3">
        <v>47539</v>
      </c>
      <c r="C1619">
        <v>100</v>
      </c>
      <c r="D1619">
        <v>3.675</v>
      </c>
      <c r="E1619">
        <v>0</v>
      </c>
      <c r="F1619">
        <v>3.675</v>
      </c>
    </row>
    <row r="1620" spans="1:6">
      <c r="A1620" s="1" t="s">
        <v>461</v>
      </c>
      <c r="B1620" s="3">
        <v>47721</v>
      </c>
      <c r="C1620">
        <v>100</v>
      </c>
      <c r="D1620">
        <v>3.675</v>
      </c>
      <c r="E1620">
        <v>0</v>
      </c>
      <c r="F1620">
        <v>3.675</v>
      </c>
    </row>
    <row r="1621" spans="1:6">
      <c r="A1621" s="1" t="s">
        <v>461</v>
      </c>
      <c r="B1621" s="3">
        <v>47904</v>
      </c>
      <c r="C1621">
        <v>100</v>
      </c>
      <c r="D1621">
        <v>3.675</v>
      </c>
      <c r="E1621">
        <v>0</v>
      </c>
      <c r="F1621">
        <v>3.675</v>
      </c>
    </row>
    <row r="1622" spans="1:6">
      <c r="A1622" s="1" t="s">
        <v>461</v>
      </c>
      <c r="B1622" s="3">
        <v>48085</v>
      </c>
      <c r="C1622">
        <v>100</v>
      </c>
      <c r="D1622">
        <v>3.675</v>
      </c>
      <c r="E1622">
        <v>0</v>
      </c>
      <c r="F1622">
        <v>3.675</v>
      </c>
    </row>
    <row r="1623" spans="1:6">
      <c r="A1623" s="1" t="s">
        <v>461</v>
      </c>
      <c r="B1623" s="3">
        <v>48269</v>
      </c>
      <c r="C1623">
        <v>100</v>
      </c>
      <c r="D1623">
        <v>3.675</v>
      </c>
      <c r="E1623">
        <v>0</v>
      </c>
      <c r="F1623">
        <v>3.675</v>
      </c>
    </row>
    <row r="1624" spans="1:6">
      <c r="A1624" s="1" t="s">
        <v>461</v>
      </c>
      <c r="B1624" s="3">
        <v>48451</v>
      </c>
      <c r="C1624">
        <v>67.0</v>
      </c>
      <c r="D1624">
        <v>3.675</v>
      </c>
      <c r="E1624">
        <v>33</v>
      </c>
      <c r="F1624">
        <v>36.675</v>
      </c>
    </row>
    <row r="1625" spans="1:6">
      <c r="A1625" s="1" t="s">
        <v>461</v>
      </c>
      <c r="B1625" s="3">
        <v>48635</v>
      </c>
      <c r="C1625">
        <v>67.0</v>
      </c>
      <c r="D1625">
        <v>2.46225</v>
      </c>
      <c r="E1625">
        <v>0</v>
      </c>
      <c r="F1625">
        <v>2.46225</v>
      </c>
    </row>
    <row r="1626" spans="1:6">
      <c r="A1626" s="1" t="s">
        <v>461</v>
      </c>
      <c r="B1626" s="3">
        <v>48816</v>
      </c>
      <c r="C1626">
        <v>34.0</v>
      </c>
      <c r="D1626">
        <v>2.46225</v>
      </c>
      <c r="E1626">
        <v>33</v>
      </c>
      <c r="F1626">
        <v>35.46225</v>
      </c>
    </row>
    <row r="1627" spans="1:6">
      <c r="A1627" s="1" t="s">
        <v>461</v>
      </c>
      <c r="B1627" s="3">
        <v>49002</v>
      </c>
      <c r="C1627">
        <v>34.0</v>
      </c>
      <c r="D1627">
        <v>1.2495</v>
      </c>
      <c r="E1627">
        <v>0</v>
      </c>
      <c r="F1627">
        <v>1.2495</v>
      </c>
    </row>
    <row r="1628" spans="1:6">
      <c r="A1628" s="1" t="s">
        <v>461</v>
      </c>
      <c r="B1628" s="3">
        <v>49181</v>
      </c>
      <c r="C1628">
        <v>0</v>
      </c>
      <c r="D1628">
        <v>1.2495</v>
      </c>
      <c r="E1628">
        <v>34</v>
      </c>
      <c r="F1628">
        <v>35.2495</v>
      </c>
    </row>
    <row r="1629" spans="1:6">
      <c r="A1629" s="1" t="s">
        <v>463</v>
      </c>
      <c r="B1629" s="3">
        <v>46428</v>
      </c>
      <c r="C1629">
        <v>100</v>
      </c>
      <c r="D1629">
        <v>3.261589</v>
      </c>
      <c r="E1629">
        <v>0</v>
      </c>
      <c r="F1629">
        <v>3.261589</v>
      </c>
    </row>
    <row r="1630" spans="1:6">
      <c r="A1630" s="1" t="s">
        <v>463</v>
      </c>
      <c r="B1630" s="3">
        <v>46605</v>
      </c>
      <c r="C1630">
        <v>100</v>
      </c>
      <c r="D1630">
        <v>3.208411</v>
      </c>
      <c r="E1630">
        <v>0</v>
      </c>
      <c r="F1630">
        <v>3.208411</v>
      </c>
    </row>
    <row r="1631" spans="1:6">
      <c r="A1631" s="1" t="s">
        <v>463</v>
      </c>
      <c r="B1631" s="3">
        <v>46790</v>
      </c>
      <c r="C1631">
        <v>100</v>
      </c>
      <c r="D1631">
        <v>3.261589</v>
      </c>
      <c r="E1631">
        <v>0</v>
      </c>
      <c r="F1631">
        <v>3.261589</v>
      </c>
    </row>
    <row r="1632" spans="1:6">
      <c r="A1632" s="1" t="s">
        <v>463</v>
      </c>
      <c r="B1632" s="3">
        <v>46972</v>
      </c>
      <c r="C1632">
        <v>0</v>
      </c>
      <c r="D1632">
        <v>3.243863</v>
      </c>
      <c r="E1632">
        <v>100</v>
      </c>
      <c r="F1632">
        <v>103.243863</v>
      </c>
    </row>
    <row r="1633" spans="1:6">
      <c r="A1633" s="1" t="inlineStr">
        <is>
          <t>VSCPD</t>
        </is>
      </c>
      <c r="B1633" s="3">
        <v>45600</v>
      </c>
      <c r="C1633" s="1">
        <v>100</v>
      </c>
      <c r="D1633" s="1">
        <v>4.0328767123</v>
      </c>
      <c r="E1633" s="1">
        <v>0</v>
      </c>
      <c r="F1633" s="1">
        <v>4.0328767123</v>
      </c>
    </row>
    <row r="1634" spans="1:6">
      <c r="A1634" s="1" t="inlineStr">
        <is>
          <t>VSCPD</t>
        </is>
      </c>
      <c r="B1634" s="3">
        <v>45782</v>
      </c>
      <c r="C1634" s="1">
        <v>100</v>
      </c>
      <c r="D1634" s="1">
        <v>3.9671232877</v>
      </c>
      <c r="E1634" s="1">
        <v>0</v>
      </c>
      <c r="F1634" s="1">
        <v>3.9671232877</v>
      </c>
    </row>
    <row r="1635" spans="1:6">
      <c r="A1635" s="1" t="inlineStr">
        <is>
          <t>VSCPD</t>
        </is>
      </c>
      <c r="B1635" s="3">
        <v>45964</v>
      </c>
      <c r="C1635" s="1">
        <v>100</v>
      </c>
      <c r="D1635" s="1">
        <v>4.0328767123</v>
      </c>
      <c r="E1635" s="1">
        <v>0</v>
      </c>
      <c r="F1635" s="1">
        <v>4.0328767123</v>
      </c>
    </row>
    <row r="1636" spans="1:6">
      <c r="A1636" s="1" t="inlineStr">
        <is>
          <t>VSCPD</t>
        </is>
      </c>
      <c r="B1636" s="3">
        <v>46146</v>
      </c>
      <c r="C1636" s="1">
        <v>100</v>
      </c>
      <c r="D1636" s="1">
        <v>3.9671232877</v>
      </c>
      <c r="E1636" s="1">
        <v>0</v>
      </c>
      <c r="F1636" s="1">
        <v>3.9671232877</v>
      </c>
    </row>
    <row r="1637" spans="1:6">
      <c r="A1637" s="1" t="inlineStr">
        <is>
          <t>VSCPD</t>
        </is>
      </c>
      <c r="B1637" s="3">
        <v>46329</v>
      </c>
      <c r="C1637" s="1">
        <v>100</v>
      </c>
      <c r="D1637" s="1">
        <v>4.0328767123</v>
      </c>
      <c r="E1637" s="1">
        <v>0</v>
      </c>
      <c r="F1637" s="1">
        <v>4.0328767123</v>
      </c>
    </row>
    <row r="1638" spans="1:6">
      <c r="A1638" s="1" t="inlineStr">
        <is>
          <t>VSCPD</t>
        </is>
      </c>
      <c r="B1638" s="3">
        <v>46510</v>
      </c>
      <c r="C1638" s="1">
        <v>100</v>
      </c>
      <c r="D1638" s="1">
        <v>3.9671232877</v>
      </c>
      <c r="E1638" s="1">
        <v>0</v>
      </c>
      <c r="F1638" s="1">
        <v>3.9671232877</v>
      </c>
    </row>
    <row r="1639" spans="1:6">
      <c r="A1639" s="1" t="inlineStr">
        <is>
          <t>VSCPD</t>
        </is>
      </c>
      <c r="B1639" s="3">
        <v>46694</v>
      </c>
      <c r="C1639" s="1">
        <v>100</v>
      </c>
      <c r="D1639" s="1">
        <v>4.0328767123</v>
      </c>
      <c r="E1639" s="1">
        <v>25</v>
      </c>
      <c r="F1639" s="1">
        <v>29.0328767123</v>
      </c>
    </row>
    <row r="1640" spans="1:6">
      <c r="A1640" s="1" t="inlineStr">
        <is>
          <t>VSCPD</t>
        </is>
      </c>
      <c r="B1640" s="3">
        <v>46876</v>
      </c>
      <c r="C1640" s="1">
        <v>75</v>
      </c>
      <c r="D1640" s="1">
        <v>2.9917808219</v>
      </c>
      <c r="E1640" s="1">
        <v>25</v>
      </c>
      <c r="F1640" s="1">
        <v>27.9917808219</v>
      </c>
    </row>
    <row r="1641" spans="1:6">
      <c r="A1641" s="1" t="inlineStr">
        <is>
          <t>VSCPD</t>
        </is>
      </c>
      <c r="B1641" s="3">
        <v>47060</v>
      </c>
      <c r="C1641" s="1">
        <v>50</v>
      </c>
      <c r="D1641" s="1">
        <v>2.0164383562</v>
      </c>
      <c r="E1641" s="1">
        <v>25</v>
      </c>
      <c r="F1641" s="1">
        <v>27.0164383562</v>
      </c>
    </row>
    <row r="1642" spans="1:6">
      <c r="A1642" s="1" t="inlineStr">
        <is>
          <t>VSCPD</t>
        </is>
      </c>
      <c r="B1642" s="3">
        <v>47241</v>
      </c>
      <c r="C1642" s="1">
        <v>25</v>
      </c>
      <c r="D1642" s="1">
        <v>0.9917808219</v>
      </c>
      <c r="E1642" s="1">
        <v>25</v>
      </c>
      <c r="F1642" s="1">
        <v>25.9917808219</v>
      </c>
    </row>
    <row r="1643" spans="1:6">
      <c r="A1643" s="1" t="inlineStr">
        <is>
          <t>PNXCD</t>
        </is>
      </c>
      <c r="B1643" s="3">
        <v>45595</v>
      </c>
      <c r="C1643" s="1">
        <v>100</v>
      </c>
      <c r="D1643" s="1">
        <v>4.25</v>
      </c>
      <c r="E1643" s="1">
        <v>0</v>
      </c>
      <c r="F1643" s="1">
        <v>4.25</v>
      </c>
    </row>
    <row r="1644" spans="1:6">
      <c r="A1644" s="1" t="inlineStr">
        <is>
          <t>PNXCD</t>
        </is>
      </c>
      <c r="B1644" s="3">
        <v>45777</v>
      </c>
      <c r="C1644" s="1">
        <v>100</v>
      </c>
      <c r="D1644" s="1">
        <v>4.25</v>
      </c>
      <c r="E1644" s="1">
        <v>0</v>
      </c>
      <c r="F1644" s="1">
        <v>4.25</v>
      </c>
    </row>
    <row r="1645" spans="1:6">
      <c r="A1645" s="1" t="inlineStr">
        <is>
          <t>PNXCD</t>
        </is>
      </c>
      <c r="B1645" s="3">
        <v>45960</v>
      </c>
      <c r="C1645" s="1">
        <v>100</v>
      </c>
      <c r="D1645" s="1">
        <v>4.25</v>
      </c>
      <c r="E1645" s="1">
        <v>0</v>
      </c>
      <c r="F1645" s="1">
        <v>4.25</v>
      </c>
    </row>
    <row r="1646" spans="1:6">
      <c r="A1646" s="1" t="inlineStr">
        <is>
          <t>PNXCD</t>
        </is>
      </c>
      <c r="B1646" s="3">
        <v>46142</v>
      </c>
      <c r="C1646" s="1">
        <v>100</v>
      </c>
      <c r="D1646" s="1">
        <v>4.25</v>
      </c>
      <c r="E1646" s="1">
        <v>0</v>
      </c>
      <c r="F1646" s="1">
        <v>4.25</v>
      </c>
    </row>
    <row r="1647" spans="1:6">
      <c r="A1647" s="1" t="inlineStr">
        <is>
          <t>PNXCD</t>
        </is>
      </c>
      <c r="B1647" s="3">
        <v>46325</v>
      </c>
      <c r="C1647" s="1">
        <v>100</v>
      </c>
      <c r="D1647" s="1">
        <v>4.25</v>
      </c>
      <c r="E1647" s="1">
        <v>0</v>
      </c>
      <c r="F1647" s="1">
        <v>4.25</v>
      </c>
    </row>
    <row r="1648" spans="1:6">
      <c r="A1648" s="1" t="inlineStr">
        <is>
          <t>PNXCD</t>
        </is>
      </c>
      <c r="B1648" s="3">
        <v>46507</v>
      </c>
      <c r="C1648" s="1">
        <v>100</v>
      </c>
      <c r="D1648" s="1">
        <v>4.25</v>
      </c>
      <c r="E1648" s="1">
        <v>0</v>
      </c>
      <c r="F1648" s="1">
        <v>4.25</v>
      </c>
    </row>
    <row r="1649" spans="1:6">
      <c r="A1649" s="1" t="inlineStr">
        <is>
          <t>PNXCD</t>
        </is>
      </c>
      <c r="B1649" s="3">
        <v>46692</v>
      </c>
      <c r="C1649" s="1">
        <v>100</v>
      </c>
      <c r="D1649" s="1">
        <v>4.25</v>
      </c>
      <c r="E1649" s="1">
        <v>0</v>
      </c>
      <c r="F1649" s="1">
        <v>4.25</v>
      </c>
    </row>
    <row r="1650" spans="1:6">
      <c r="A1650" s="1" t="inlineStr">
        <is>
          <t>PNXCD</t>
        </is>
      </c>
      <c r="B1650" s="3">
        <v>46875</v>
      </c>
      <c r="C1650" s="1">
        <v>100</v>
      </c>
      <c r="D1650" s="1">
        <v>4.25</v>
      </c>
      <c r="E1650" s="1">
        <v>0</v>
      </c>
      <c r="F1650" s="1">
        <v>4.25</v>
      </c>
    </row>
    <row r="1651" spans="1:6">
      <c r="A1651" s="1" t="inlineStr">
        <is>
          <t>PNXCD</t>
        </is>
      </c>
      <c r="B1651" s="3">
        <v>47056</v>
      </c>
      <c r="C1651" s="1">
        <v>100</v>
      </c>
      <c r="D1651" s="1">
        <v>4.25</v>
      </c>
      <c r="E1651" s="1">
        <v>0</v>
      </c>
      <c r="F1651" s="1">
        <v>4.25</v>
      </c>
    </row>
    <row r="1652" spans="1:6">
      <c r="A1652" s="1" t="inlineStr">
        <is>
          <t>PNXCD</t>
        </is>
      </c>
      <c r="B1652" s="3">
        <v>47238</v>
      </c>
      <c r="C1652" s="1">
        <v>100</v>
      </c>
      <c r="D1652" s="1">
        <v>4.25</v>
      </c>
      <c r="E1652" s="1">
        <v>0</v>
      </c>
      <c r="F1652" s="1">
        <v>4.25</v>
      </c>
    </row>
    <row r="1653" spans="1:6">
      <c r="A1653" s="1" t="inlineStr">
        <is>
          <t>PNXCD</t>
        </is>
      </c>
      <c r="B1653" s="3">
        <v>47421</v>
      </c>
      <c r="C1653" s="1">
        <v>100</v>
      </c>
      <c r="D1653" s="1">
        <v>4.25</v>
      </c>
      <c r="E1653" s="1">
        <v>0</v>
      </c>
      <c r="F1653" s="1">
        <v>4.25</v>
      </c>
    </row>
    <row r="1654" spans="1:6">
      <c r="A1654" s="1" t="inlineStr">
        <is>
          <t>PNXCD</t>
        </is>
      </c>
      <c r="B1654" s="3">
        <v>47603</v>
      </c>
      <c r="C1654" s="1">
        <v>100</v>
      </c>
      <c r="D1654" s="1">
        <v>4.25</v>
      </c>
      <c r="E1654" s="1">
        <v>33.33325</v>
      </c>
      <c r="F1654" s="1">
        <v>37.58325</v>
      </c>
    </row>
    <row r="1655" spans="1:6">
      <c r="A1655" s="1" t="inlineStr">
        <is>
          <t>PNXCD</t>
        </is>
      </c>
      <c r="B1655" s="3">
        <v>47786</v>
      </c>
      <c r="C1655" s="1">
        <v>66.66675</v>
      </c>
      <c r="D1655" s="1">
        <v>2.833336875</v>
      </c>
      <c r="E1655" s="1">
        <v>0</v>
      </c>
      <c r="F1655" s="1">
        <v>2.833336875</v>
      </c>
    </row>
    <row r="1656" spans="1:6">
      <c r="A1656" s="1" t="inlineStr">
        <is>
          <t>PNXCD</t>
        </is>
      </c>
      <c r="B1656" s="3">
        <v>47968</v>
      </c>
      <c r="C1656" s="1">
        <v>66.66675</v>
      </c>
      <c r="D1656" s="1">
        <v>2.833336875</v>
      </c>
      <c r="E1656" s="1">
        <v>33.33325</v>
      </c>
      <c r="F1656" s="1">
        <v>36.166586875</v>
      </c>
    </row>
    <row r="1657" spans="1:6">
      <c r="A1657" s="1" t="inlineStr">
        <is>
          <t>PNXCD</t>
        </is>
      </c>
      <c r="B1657" s="3">
        <v>48151</v>
      </c>
      <c r="C1657" s="1">
        <v>33.3335</v>
      </c>
      <c r="D1657" s="1">
        <v>1.41667375</v>
      </c>
      <c r="E1657" s="1">
        <v>0</v>
      </c>
      <c r="F1657" s="1">
        <v>1.41667375</v>
      </c>
    </row>
    <row r="1658" spans="1:6">
      <c r="A1658" s="1" t="inlineStr">
        <is>
          <t>PNXCD</t>
        </is>
      </c>
      <c r="B1658" s="3">
        <v>48334</v>
      </c>
      <c r="C1658" s="1">
        <v>33.3335</v>
      </c>
      <c r="D1658" s="1">
        <v>1.41667375</v>
      </c>
      <c r="E1658" s="1">
        <v>33.3335</v>
      </c>
      <c r="F1658" s="1">
        <v>34.75017375</v>
      </c>
    </row>
    <row r="1659" spans="1:6">
      <c r="A1659" s="1" t="inlineStr">
        <is>
          <t>MR45D</t>
        </is>
      </c>
      <c r="B1659" s="3">
        <v>46386</v>
      </c>
      <c r="C1659" s="1">
        <v>100</v>
      </c>
      <c r="D1659" s="1">
        <v>1.6890410959</v>
      </c>
      <c r="E1659" s="1">
        <v>0</v>
      </c>
      <c r="F1659" s="1">
        <v>1.6890410959</v>
      </c>
    </row>
    <row r="1660" spans="1:6">
      <c r="A1660" s="1" t="inlineStr">
        <is>
          <t>MR45D</t>
        </is>
      </c>
      <c r="B1660" s="3">
        <v>46568</v>
      </c>
      <c r="C1660" s="1">
        <v>100</v>
      </c>
      <c r="D1660" s="1">
        <v>1.1219178082</v>
      </c>
      <c r="E1660" s="1">
        <v>0</v>
      </c>
      <c r="F1660" s="1">
        <v>1.1219178082</v>
      </c>
    </row>
    <row r="1661" spans="1:6">
      <c r="A1661" s="1" t="inlineStr">
        <is>
          <t>MR45D</t>
        </is>
      </c>
      <c r="B1661" s="3">
        <v>46751</v>
      </c>
      <c r="C1661" s="1">
        <v>100</v>
      </c>
      <c r="D1661" s="1">
        <v>1.1280821918</v>
      </c>
      <c r="E1661" s="1">
        <v>0</v>
      </c>
      <c r="F1661" s="1">
        <v>1.1280821918</v>
      </c>
    </row>
    <row r="1662" spans="1:6">
      <c r="A1662" s="1" t="inlineStr">
        <is>
          <t>MR45D</t>
        </is>
      </c>
      <c r="B1662" s="3">
        <v>46934</v>
      </c>
      <c r="C1662" s="1">
        <v>100</v>
      </c>
      <c r="D1662" s="1">
        <v>1.1280821918</v>
      </c>
      <c r="E1662" s="1">
        <v>0</v>
      </c>
      <c r="F1662" s="1">
        <v>1.1280821918</v>
      </c>
    </row>
    <row r="1663" spans="1:6">
      <c r="A1663" s="1" t="inlineStr">
        <is>
          <t>MR45D</t>
        </is>
      </c>
      <c r="B1663" s="3">
        <v>47120</v>
      </c>
      <c r="C1663" s="1">
        <v>100</v>
      </c>
      <c r="D1663" s="1">
        <v>1.1280821918</v>
      </c>
      <c r="E1663" s="1">
        <v>0</v>
      </c>
      <c r="F1663" s="1">
        <v>1.1280821918</v>
      </c>
    </row>
    <row r="1664" spans="1:6">
      <c r="A1664" s="1" t="inlineStr">
        <is>
          <t>MR45D</t>
        </is>
      </c>
      <c r="B1664" s="3">
        <v>47301</v>
      </c>
      <c r="C1664" s="1">
        <v>100</v>
      </c>
      <c r="D1664" s="1">
        <v>1.1219178082</v>
      </c>
      <c r="E1664" s="1">
        <v>0</v>
      </c>
      <c r="F1664" s="1">
        <v>1.1219178082</v>
      </c>
    </row>
    <row r="1665" spans="1:6">
      <c r="A1665" s="1" t="inlineStr">
        <is>
          <t>MR45D</t>
        </is>
      </c>
      <c r="B1665" s="3">
        <v>47483</v>
      </c>
      <c r="C1665" s="1">
        <v>100</v>
      </c>
      <c r="D1665" s="1">
        <v>1.1280821918</v>
      </c>
      <c r="E1665" s="1">
        <v>0</v>
      </c>
      <c r="F1665" s="1">
        <v>1.1280821918</v>
      </c>
    </row>
    <row r="1666" spans="1:6">
      <c r="A1666" s="1" t="inlineStr">
        <is>
          <t>MR45D</t>
        </is>
      </c>
      <c r="B1666" s="3">
        <v>47665</v>
      </c>
      <c r="C1666" s="1">
        <v>100</v>
      </c>
      <c r="D1666" s="1">
        <v>1.1219178082</v>
      </c>
      <c r="E1666" s="1">
        <v>0</v>
      </c>
      <c r="F1666" s="1">
        <v>1.1219178082</v>
      </c>
    </row>
    <row r="1667" spans="1:6">
      <c r="A1667" s="1" t="inlineStr">
        <is>
          <t>MR45D</t>
        </is>
      </c>
      <c r="B1667" s="3">
        <v>47847</v>
      </c>
      <c r="C1667" s="1">
        <v>100</v>
      </c>
      <c r="D1667" s="1">
        <v>1.504109589</v>
      </c>
      <c r="E1667" s="1">
        <v>0</v>
      </c>
      <c r="F1667" s="1">
        <v>1.504109589</v>
      </c>
    </row>
    <row r="1668" spans="1:6">
      <c r="A1668" s="1" t="inlineStr">
        <is>
          <t>MR45D</t>
        </is>
      </c>
      <c r="B1668" s="3">
        <v>48029</v>
      </c>
      <c r="C1668" s="1">
        <v>100</v>
      </c>
      <c r="D1668" s="1">
        <v>1.495890411</v>
      </c>
      <c r="E1668" s="1">
        <v>0</v>
      </c>
      <c r="F1668" s="1">
        <v>1.495890411</v>
      </c>
    </row>
    <row r="1669" spans="1:6">
      <c r="A1669" s="1" t="inlineStr">
        <is>
          <t>MR45D</t>
        </is>
      </c>
      <c r="B1669" s="3">
        <v>48212</v>
      </c>
      <c r="C1669" s="1">
        <v>100</v>
      </c>
      <c r="D1669" s="1">
        <v>1.504109589</v>
      </c>
      <c r="E1669" s="1">
        <v>0</v>
      </c>
      <c r="F1669" s="1">
        <v>1.504109589</v>
      </c>
    </row>
    <row r="1670" spans="1:6">
      <c r="A1670" s="1" t="inlineStr">
        <is>
          <t>MR45D</t>
        </is>
      </c>
      <c r="B1670" s="3">
        <v>48395</v>
      </c>
      <c r="C1670" s="1">
        <v>100</v>
      </c>
      <c r="D1670" s="1">
        <v>1.504109589</v>
      </c>
      <c r="E1670" s="1">
        <v>0</v>
      </c>
      <c r="F1670" s="1">
        <v>1.504109589</v>
      </c>
    </row>
    <row r="1671" spans="1:6">
      <c r="A1671" s="1" t="inlineStr">
        <is>
          <t>MR45D</t>
        </is>
      </c>
      <c r="B1671" s="3">
        <v>48578</v>
      </c>
      <c r="C1671" s="1">
        <v>100</v>
      </c>
      <c r="D1671" s="1">
        <v>1.504109589</v>
      </c>
      <c r="E1671" s="1">
        <v>0</v>
      </c>
      <c r="F1671" s="1">
        <v>1.504109589</v>
      </c>
    </row>
    <row r="1672" spans="1:6">
      <c r="A1672" s="1" t="inlineStr">
        <is>
          <t>MR45D</t>
        </is>
      </c>
      <c r="B1672" s="3">
        <v>48760</v>
      </c>
      <c r="C1672" s="1">
        <v>100</v>
      </c>
      <c r="D1672" s="1">
        <v>1.495890411</v>
      </c>
      <c r="E1672" s="1">
        <v>0</v>
      </c>
      <c r="F1672" s="1">
        <v>1.495890411</v>
      </c>
    </row>
    <row r="1673" spans="1:6">
      <c r="A1673" s="1" t="inlineStr">
        <is>
          <t>MR45D</t>
        </is>
      </c>
      <c r="B1673" s="3">
        <v>48943</v>
      </c>
      <c r="C1673" s="1">
        <v>100</v>
      </c>
      <c r="D1673" s="1">
        <v>1.504109589</v>
      </c>
      <c r="E1673" s="1">
        <v>5</v>
      </c>
      <c r="F1673" s="1">
        <v>6.504109589</v>
      </c>
    </row>
    <row r="1674" spans="1:6">
      <c r="A1674" s="1" t="inlineStr">
        <is>
          <t>MR45D</t>
        </is>
      </c>
      <c r="B1674" s="3">
        <v>49125</v>
      </c>
      <c r="C1674" s="1">
        <v>95</v>
      </c>
      <c r="D1674" s="1">
        <v>1.4210958904</v>
      </c>
      <c r="E1674" s="1">
        <v>10</v>
      </c>
      <c r="F1674" s="1">
        <v>11.4210958904</v>
      </c>
    </row>
    <row r="1675" spans="1:6">
      <c r="A1675" s="1" t="inlineStr">
        <is>
          <t>MR45D</t>
        </is>
      </c>
      <c r="B1675" s="3">
        <v>49311</v>
      </c>
      <c r="C1675" s="1">
        <v>85</v>
      </c>
      <c r="D1675" s="1">
        <v>1.7046575342</v>
      </c>
      <c r="E1675" s="1">
        <v>10</v>
      </c>
      <c r="F1675" s="1">
        <v>11.7046575342</v>
      </c>
    </row>
    <row r="1676" spans="1:6">
      <c r="A1676" s="1" t="inlineStr">
        <is>
          <t>MR45D</t>
        </is>
      </c>
      <c r="B1676" s="3">
        <v>49492</v>
      </c>
      <c r="C1676" s="1">
        <v>75</v>
      </c>
      <c r="D1676" s="1">
        <v>1.495890411</v>
      </c>
      <c r="E1676" s="1">
        <v>10</v>
      </c>
      <c r="F1676" s="1">
        <v>11.495890411</v>
      </c>
    </row>
    <row r="1677" spans="1:6">
      <c r="A1677" s="1" t="inlineStr">
        <is>
          <t>MR45D</t>
        </is>
      </c>
      <c r="B1677" s="3">
        <v>49674</v>
      </c>
      <c r="C1677" s="1">
        <v>65</v>
      </c>
      <c r="D1677" s="1">
        <v>1.3035616438</v>
      </c>
      <c r="E1677" s="1">
        <v>10</v>
      </c>
      <c r="F1677" s="1">
        <v>11.3035616438</v>
      </c>
    </row>
    <row r="1678" spans="1:6">
      <c r="A1678" s="1" t="inlineStr">
        <is>
          <t>MR45D</t>
        </is>
      </c>
      <c r="B1678" s="3">
        <v>49856</v>
      </c>
      <c r="C1678" s="1">
        <v>55</v>
      </c>
      <c r="D1678" s="1">
        <v>1.1030136986</v>
      </c>
      <c r="E1678" s="1">
        <v>55</v>
      </c>
      <c r="F1678" s="1">
        <v>56.1030136986</v>
      </c>
    </row>
    <row r="1679" spans="1:6">
      <c r="A1679" s="1" t="inlineStr">
        <is>
          <t>TX28</t>
        </is>
      </c>
      <c r="B1679" s="3">
        <v>44326</v>
      </c>
      <c r="C1679" s="1">
        <v>3060.946</v>
      </c>
      <c r="D1679" s="1">
        <v>2.00441</v>
      </c>
      <c r="E1679" s="1">
        <v>0</v>
      </c>
      <c r="F1679" s="1">
        <v>2.00441</v>
      </c>
    </row>
    <row r="1680" spans="1:6">
      <c r="A1680" s="1" t="inlineStr">
        <is>
          <t>TX28</t>
        </is>
      </c>
      <c r="B1680" s="3">
        <v>44509</v>
      </c>
      <c r="C1680" s="1">
        <v>3060.946</v>
      </c>
      <c r="D1680" s="1">
        <v>1.7991</v>
      </c>
      <c r="E1680" s="1">
        <v>0</v>
      </c>
      <c r="F1680" s="1">
        <v>1.7991</v>
      </c>
    </row>
    <row r="1681" spans="1:6">
      <c r="A1681" s="1" t="inlineStr">
        <is>
          <t>TX28</t>
        </is>
      </c>
      <c r="B1681" s="3">
        <v>44690</v>
      </c>
      <c r="C1681" s="1">
        <v>3060.946</v>
      </c>
      <c r="D1681" s="1">
        <v>2.25169</v>
      </c>
      <c r="E1681" s="1">
        <v>0</v>
      </c>
      <c r="F1681" s="1">
        <v>2.25169</v>
      </c>
    </row>
    <row r="1682" spans="1:6">
      <c r="A1682" s="1" t="inlineStr">
        <is>
          <t>TX28</t>
        </is>
      </c>
      <c r="B1682" s="3">
        <v>44874</v>
      </c>
      <c r="C1682" s="1">
        <v>3060.946</v>
      </c>
      <c r="D1682" s="1">
        <v>3.23809</v>
      </c>
      <c r="E1682" s="1">
        <v>0</v>
      </c>
      <c r="F1682" s="1">
        <v>3.23809</v>
      </c>
    </row>
    <row r="1683" spans="1:6">
      <c r="A1683" s="1" t="inlineStr">
        <is>
          <t>TX28</t>
        </is>
      </c>
      <c r="B1683" s="3">
        <v>45055</v>
      </c>
      <c r="C1683" s="1">
        <v>3060.946</v>
      </c>
      <c r="D1683" s="1">
        <v>4.55805</v>
      </c>
      <c r="E1683" s="1">
        <v>0</v>
      </c>
      <c r="F1683" s="1">
        <v>4.55805</v>
      </c>
    </row>
    <row r="1684" spans="1:6">
      <c r="A1684" s="1" t="inlineStr">
        <is>
          <t>TX28</t>
        </is>
      </c>
      <c r="B1684" s="3">
        <v>45239</v>
      </c>
      <c r="C1684" s="1">
        <v>3060.946</v>
      </c>
      <c r="D1684" s="1">
        <v>7.38473</v>
      </c>
      <c r="E1684" s="1">
        <v>0</v>
      </c>
      <c r="F1684" s="1">
        <v>7.38473</v>
      </c>
    </row>
    <row r="1685" spans="1:6">
      <c r="A1685" s="1" t="inlineStr">
        <is>
          <t>TX28</t>
        </is>
      </c>
      <c r="B1685" s="3">
        <v>45421</v>
      </c>
      <c r="C1685" s="1">
        <v>3060.946</v>
      </c>
      <c r="D1685" s="1">
        <v>17.29339</v>
      </c>
      <c r="E1685" s="1">
        <v>153.719</v>
      </c>
      <c r="F1685" s="1">
        <v>171.01239</v>
      </c>
    </row>
    <row r="1686" spans="1:6">
      <c r="A1686" s="1" t="inlineStr">
        <is>
          <t>TX28</t>
        </is>
      </c>
      <c r="B1686" s="3">
        <v>45607</v>
      </c>
      <c r="C1686" s="1">
        <v>2907.227</v>
      </c>
      <c r="D1686" s="1">
        <v>21.75701</v>
      </c>
      <c r="E1686" s="1">
        <v>214.884</v>
      </c>
      <c r="F1686" s="1">
        <v>236.64101</v>
      </c>
    </row>
    <row r="1687" spans="1:6">
      <c r="A1687" s="1" t="inlineStr">
        <is>
          <t>TX28</t>
        </is>
      </c>
      <c r="B1687" s="3">
        <v>45786</v>
      </c>
      <c r="C1687" s="1">
        <v>2692.343</v>
      </c>
      <c r="D1687" s="1">
        <v>22.59261</v>
      </c>
      <c r="E1687" s="1">
        <v>251.029</v>
      </c>
      <c r="F1687" s="1">
        <v>273.62161</v>
      </c>
    </row>
    <row r="1688" spans="1:6">
      <c r="A1688" s="1" t="inlineStr">
        <is>
          <t>TX28</t>
        </is>
      </c>
      <c r="B1688" s="3">
        <v>45971</v>
      </c>
      <c r="C1688" s="1">
        <v>2441.314</v>
      </c>
      <c r="D1688" s="1">
        <v>22.48368</v>
      </c>
      <c r="E1688" s="1">
        <v>285.507</v>
      </c>
      <c r="F1688" s="1">
        <v>307.99068</v>
      </c>
    </row>
    <row r="1689" spans="1:6">
      <c r="A1689" s="1" t="inlineStr">
        <is>
          <t>TX28</t>
        </is>
      </c>
      <c r="B1689" s="3">
        <v>46153</v>
      </c>
      <c r="C1689" s="1">
        <v>2155.807</v>
      </c>
      <c r="D1689" s="1">
        <v>22.54784</v>
      </c>
      <c r="E1689" s="1">
        <v>334.042</v>
      </c>
      <c r="F1689" s="1">
        <v>356.58984</v>
      </c>
    </row>
    <row r="1690" spans="1:6">
      <c r="A1690" s="1" t="inlineStr">
        <is>
          <t>TX28</t>
        </is>
      </c>
      <c r="B1690" s="3">
        <v>46335</v>
      </c>
      <c r="C1690" s="1">
        <v>1821.765</v>
      </c>
      <c r="D1690" s="1">
        <v>20.49486</v>
      </c>
      <c r="E1690" s="1">
        <v>364.353</v>
      </c>
      <c r="F1690" s="1">
        <v>384.84786</v>
      </c>
    </row>
    <row r="1691" spans="1:6">
      <c r="A1691" s="1" t="inlineStr">
        <is>
          <t>TX28</t>
        </is>
      </c>
      <c r="B1691" s="3">
        <v>46517</v>
      </c>
      <c r="C1691" s="1">
        <v>1457.412</v>
      </c>
      <c r="D1691" s="1">
        <v>16.39589</v>
      </c>
      <c r="E1691" s="1">
        <v>364.353</v>
      </c>
      <c r="F1691" s="1">
        <v>380.74889</v>
      </c>
    </row>
    <row r="1692" spans="1:6">
      <c r="A1692" s="1" t="inlineStr">
        <is>
          <t>TX28</t>
        </is>
      </c>
      <c r="B1692" s="3">
        <v>46700</v>
      </c>
      <c r="C1692" s="1">
        <v>1093.059</v>
      </c>
      <c r="D1692" s="1">
        <v>12.29691</v>
      </c>
      <c r="E1692" s="1">
        <v>364.353</v>
      </c>
      <c r="F1692" s="1">
        <v>376.64991</v>
      </c>
    </row>
    <row r="1693" spans="1:6">
      <c r="A1693" s="1" t="inlineStr">
        <is>
          <t>TX28</t>
        </is>
      </c>
      <c r="B1693" s="3">
        <v>46882</v>
      </c>
      <c r="C1693" s="1">
        <v>728.706</v>
      </c>
      <c r="D1693" s="1">
        <v>8.19794</v>
      </c>
      <c r="E1693" s="1">
        <v>364.353</v>
      </c>
      <c r="F1693" s="1">
        <v>372.55094</v>
      </c>
    </row>
    <row r="1694" spans="1:6">
      <c r="A1694" s="1" t="inlineStr">
        <is>
          <t>TX28</t>
        </is>
      </c>
      <c r="B1694" s="3">
        <v>47066</v>
      </c>
      <c r="C1694" s="1">
        <v>364.353</v>
      </c>
      <c r="D1694" s="1">
        <v>4.09897</v>
      </c>
      <c r="E1694" s="1">
        <v>364.353</v>
      </c>
      <c r="F1694" s="1">
        <v>368.45197</v>
      </c>
    </row>
    <row r="1695" spans="1:6">
      <c r="A1695" s="1" t="inlineStr">
        <is>
          <t>TX31</t>
        </is>
      </c>
      <c r="B1695" s="3">
        <v>44895</v>
      </c>
      <c r="C1695" s="1">
        <v>1750.89</v>
      </c>
      <c r="D1695" s="1">
        <v>1.79738</v>
      </c>
      <c r="E1695" s="1">
        <v>0</v>
      </c>
      <c r="F1695" s="1">
        <v>1.79738</v>
      </c>
    </row>
    <row r="1696" spans="1:6">
      <c r="A1696" s="1" t="inlineStr">
        <is>
          <t>TX31</t>
        </is>
      </c>
      <c r="B1696" s="3">
        <v>45076</v>
      </c>
      <c r="C1696" s="1">
        <v>1750.89</v>
      </c>
      <c r="D1696" s="1">
        <v>2.5445</v>
      </c>
      <c r="E1696" s="1">
        <v>0</v>
      </c>
      <c r="F1696" s="1">
        <v>2.5445</v>
      </c>
    </row>
    <row r="1697" spans="1:6">
      <c r="A1697" s="1" t="inlineStr">
        <is>
          <t>TX31</t>
        </is>
      </c>
      <c r="B1697" s="3">
        <v>45260</v>
      </c>
      <c r="C1697" s="1">
        <v>1750.89</v>
      </c>
      <c r="D1697" s="1">
        <v>4.27563</v>
      </c>
      <c r="E1697" s="1">
        <v>0</v>
      </c>
      <c r="F1697" s="1">
        <v>4.27563</v>
      </c>
    </row>
    <row r="1698" spans="1:6">
      <c r="A1698" s="1" t="inlineStr">
        <is>
          <t>TX31</t>
        </is>
      </c>
      <c r="B1698" s="3">
        <v>45442</v>
      </c>
      <c r="C1698" s="1">
        <v>1750.89</v>
      </c>
      <c r="D1698" s="1">
        <v>9.96063</v>
      </c>
      <c r="E1698" s="1">
        <v>0</v>
      </c>
      <c r="F1698" s="1">
        <v>9.96063</v>
      </c>
    </row>
    <row r="1699" spans="1:6">
      <c r="A1699" s="1" t="inlineStr">
        <is>
          <t>TX31</t>
        </is>
      </c>
      <c r="B1699" s="3">
        <v>45628</v>
      </c>
      <c r="C1699" s="1">
        <v>1750.89</v>
      </c>
      <c r="D1699" s="1">
        <v>13.21213</v>
      </c>
      <c r="E1699" s="1">
        <v>0</v>
      </c>
      <c r="F1699" s="1">
        <v>13.21213</v>
      </c>
    </row>
    <row r="1700" spans="1:6">
      <c r="A1700" s="1" t="inlineStr">
        <is>
          <t>TX31</t>
        </is>
      </c>
      <c r="B1700" s="3">
        <v>45807</v>
      </c>
      <c r="C1700" s="1">
        <v>1750.89</v>
      </c>
      <c r="D1700" s="1">
        <v>15.49988</v>
      </c>
      <c r="E1700" s="1">
        <v>0</v>
      </c>
      <c r="F1700" s="1">
        <v>15.49988</v>
      </c>
    </row>
    <row r="1701" spans="1:6">
      <c r="A1701" s="1" t="inlineStr">
        <is>
          <t>TX31</t>
        </is>
      </c>
      <c r="B1701" s="3">
        <v>45992</v>
      </c>
      <c r="C1701" s="1">
        <v>1750.89</v>
      </c>
      <c r="D1701" s="1">
        <v>17.3815</v>
      </c>
      <c r="E1701" s="1">
        <v>0</v>
      </c>
      <c r="F1701" s="1">
        <v>17.3815</v>
      </c>
    </row>
    <row r="1702" spans="1:6">
      <c r="A1702" s="1" t="inlineStr">
        <is>
          <t>TX31</t>
        </is>
      </c>
      <c r="B1702" s="3">
        <v>46174</v>
      </c>
      <c r="C1702" s="1">
        <v>1750.89</v>
      </c>
      <c r="D1702" s="1">
        <v>20.54063</v>
      </c>
      <c r="E1702" s="1">
        <v>0</v>
      </c>
      <c r="F1702" s="1">
        <v>20.54063</v>
      </c>
    </row>
    <row r="1703" spans="1:6">
      <c r="A1703" s="1" t="inlineStr">
        <is>
          <t>TX31</t>
        </is>
      </c>
      <c r="B1703" s="3">
        <v>46356</v>
      </c>
      <c r="C1703" s="1">
        <v>1750.89</v>
      </c>
      <c r="D1703" s="1">
        <v>21.88613</v>
      </c>
      <c r="E1703" s="1">
        <v>0</v>
      </c>
      <c r="F1703" s="1">
        <v>21.88613</v>
      </c>
    </row>
    <row r="1704" spans="1:6">
      <c r="A1704" s="1" t="inlineStr">
        <is>
          <t>TX31</t>
        </is>
      </c>
      <c r="B1704" s="3">
        <v>46538</v>
      </c>
      <c r="C1704" s="1">
        <v>1750.89</v>
      </c>
      <c r="D1704" s="1">
        <v>21.88613</v>
      </c>
      <c r="E1704" s="1">
        <v>175.089</v>
      </c>
      <c r="F1704" s="1">
        <v>196.97513</v>
      </c>
    </row>
    <row r="1705" spans="1:6">
      <c r="A1705" s="1" t="inlineStr">
        <is>
          <t>TX31</t>
        </is>
      </c>
      <c r="B1705" s="3">
        <v>46721</v>
      </c>
      <c r="C1705" s="1">
        <v>1575.801</v>
      </c>
      <c r="D1705" s="1">
        <v>19.69751</v>
      </c>
      <c r="E1705" s="1">
        <v>175.089</v>
      </c>
      <c r="F1705" s="1">
        <v>194.78651</v>
      </c>
    </row>
    <row r="1706" spans="1:6">
      <c r="A1706" s="1" t="inlineStr">
        <is>
          <t>TX31</t>
        </is>
      </c>
      <c r="B1706" s="3">
        <v>46903</v>
      </c>
      <c r="C1706" s="1">
        <v>1400.712</v>
      </c>
      <c r="D1706" s="1">
        <v>17.5089</v>
      </c>
      <c r="E1706" s="1">
        <v>175.089</v>
      </c>
      <c r="F1706" s="1">
        <v>192.5979</v>
      </c>
    </row>
    <row r="1707" spans="1:6">
      <c r="A1707" s="1" t="inlineStr">
        <is>
          <t>TX31</t>
        </is>
      </c>
      <c r="B1707" s="3">
        <v>47087</v>
      </c>
      <c r="C1707" s="1">
        <v>1225.623</v>
      </c>
      <c r="D1707" s="1">
        <v>15.32029</v>
      </c>
      <c r="E1707" s="1">
        <v>175.089</v>
      </c>
      <c r="F1707" s="1">
        <v>190.40929</v>
      </c>
    </row>
    <row r="1708" spans="1:6">
      <c r="A1708" s="1" t="inlineStr">
        <is>
          <t>TX31</t>
        </is>
      </c>
      <c r="B1708" s="3">
        <v>47268</v>
      </c>
      <c r="C1708" s="1">
        <v>1050.534</v>
      </c>
      <c r="D1708" s="1">
        <v>13.13168</v>
      </c>
      <c r="E1708" s="1">
        <v>175.089</v>
      </c>
      <c r="F1708" s="1">
        <v>188.22068</v>
      </c>
    </row>
    <row r="1709" spans="1:6">
      <c r="A1709" s="1" t="inlineStr">
        <is>
          <t>TX31</t>
        </is>
      </c>
      <c r="B1709" s="3">
        <v>47452</v>
      </c>
      <c r="C1709" s="1">
        <v>875.445</v>
      </c>
      <c r="D1709" s="1">
        <v>10.94306</v>
      </c>
      <c r="E1709" s="1">
        <v>175.089</v>
      </c>
      <c r="F1709" s="1">
        <v>186.03206</v>
      </c>
    </row>
    <row r="1710" spans="1:6">
      <c r="A1710" s="1" t="inlineStr">
        <is>
          <t>TX31</t>
        </is>
      </c>
      <c r="B1710" s="3">
        <v>47633</v>
      </c>
      <c r="C1710" s="1">
        <v>700.356</v>
      </c>
      <c r="D1710" s="1">
        <v>8.75445</v>
      </c>
      <c r="E1710" s="1">
        <v>175.089</v>
      </c>
      <c r="F1710" s="1">
        <v>183.84345</v>
      </c>
    </row>
    <row r="1711" spans="1:6">
      <c r="A1711" s="1" t="inlineStr">
        <is>
          <t>TX31</t>
        </is>
      </c>
      <c r="B1711" s="3">
        <v>47819</v>
      </c>
      <c r="C1711" s="1">
        <v>525.267</v>
      </c>
      <c r="D1711" s="1">
        <v>6.56584</v>
      </c>
      <c r="E1711" s="1">
        <v>175.089</v>
      </c>
      <c r="F1711" s="1">
        <v>181.65484</v>
      </c>
    </row>
    <row r="1712" spans="1:6">
      <c r="A1712" s="1" t="inlineStr">
        <is>
          <t>TX31</t>
        </is>
      </c>
      <c r="B1712" s="3">
        <v>47998</v>
      </c>
      <c r="C1712" s="1">
        <v>350.178</v>
      </c>
      <c r="D1712" s="1">
        <v>4.37723</v>
      </c>
      <c r="E1712" s="1">
        <v>175.089</v>
      </c>
      <c r="F1712" s="1">
        <v>179.46623</v>
      </c>
    </row>
    <row r="1713" spans="1:6">
      <c r="A1713" s="1" t="inlineStr">
        <is>
          <t>TX31</t>
        </is>
      </c>
      <c r="B1713" s="3">
        <v>48183</v>
      </c>
      <c r="C1713" s="1">
        <v>175.089</v>
      </c>
      <c r="D1713" s="1">
        <v>2.18861</v>
      </c>
      <c r="E1713" s="1">
        <v>175.089</v>
      </c>
      <c r="F1713" s="1">
        <v>177.27761</v>
      </c>
    </row>
    <row r="1714" spans="1:6">
      <c r="A1714" s="1" t="inlineStr">
        <is>
          <t>DICP</t>
        </is>
      </c>
      <c r="B1714" s="3">
        <v>38168</v>
      </c>
      <c r="C1714" s="1">
        <v>66709.46634</v>
      </c>
      <c r="D1714" s="1">
        <v>1.43113</v>
      </c>
      <c r="E1714" s="1">
        <v>0</v>
      </c>
      <c r="F1714" s="1">
        <v>1.43113</v>
      </c>
    </row>
    <row r="1715" spans="1:6">
      <c r="A1715" s="1" t="inlineStr">
        <is>
          <t>DICP</t>
        </is>
      </c>
      <c r="B1715" s="3">
        <v>38352</v>
      </c>
      <c r="C1715" s="1">
        <v>66709.46634</v>
      </c>
      <c r="D1715" s="1">
        <v>1.49565</v>
      </c>
      <c r="E1715" s="1">
        <v>0</v>
      </c>
      <c r="F1715" s="1">
        <v>1.49565</v>
      </c>
    </row>
    <row r="1716" spans="1:6">
      <c r="A1716" s="1" t="inlineStr">
        <is>
          <t>DICP</t>
        </is>
      </c>
      <c r="B1716" s="3">
        <v>38533</v>
      </c>
      <c r="C1716" s="1">
        <v>66709.46634</v>
      </c>
      <c r="D1716" s="1">
        <v>1.60321</v>
      </c>
      <c r="E1716" s="1">
        <v>0</v>
      </c>
      <c r="F1716" s="1">
        <v>1.60321</v>
      </c>
    </row>
    <row r="1717" spans="1:6">
      <c r="A1717" s="1" t="inlineStr">
        <is>
          <t>DICP</t>
        </is>
      </c>
      <c r="B1717" s="3">
        <v>38719</v>
      </c>
      <c r="C1717" s="1">
        <v>66709.46634</v>
      </c>
      <c r="D1717" s="1">
        <v>1.71457</v>
      </c>
      <c r="E1717" s="1">
        <v>0</v>
      </c>
      <c r="F1717" s="1">
        <v>1.71457</v>
      </c>
    </row>
    <row r="1718" spans="1:6">
      <c r="A1718" s="1" t="inlineStr">
        <is>
          <t>DICP</t>
        </is>
      </c>
      <c r="B1718" s="3">
        <v>38898</v>
      </c>
      <c r="C1718" s="1">
        <v>66709.46634</v>
      </c>
      <c r="D1718" s="1">
        <v>1.84406</v>
      </c>
      <c r="E1718" s="1">
        <v>0</v>
      </c>
      <c r="F1718" s="1">
        <v>1.84406</v>
      </c>
    </row>
    <row r="1719" spans="1:6">
      <c r="A1719" s="1" t="inlineStr">
        <is>
          <t>DICP</t>
        </is>
      </c>
      <c r="B1719" s="3">
        <v>39084</v>
      </c>
      <c r="C1719" s="1">
        <v>66709.46634</v>
      </c>
      <c r="D1719" s="1">
        <v>1.9473</v>
      </c>
      <c r="E1719" s="1">
        <v>0</v>
      </c>
      <c r="F1719" s="1">
        <v>1.9473</v>
      </c>
    </row>
    <row r="1720" spans="1:6">
      <c r="A1720" s="1" t="inlineStr">
        <is>
          <t>DICP</t>
        </is>
      </c>
      <c r="B1720" s="3">
        <v>39265</v>
      </c>
      <c r="C1720" s="1">
        <v>66709.46634</v>
      </c>
      <c r="D1720" s="1">
        <v>2.06868</v>
      </c>
      <c r="E1720" s="1">
        <v>0</v>
      </c>
      <c r="F1720" s="1">
        <v>2.06868</v>
      </c>
    </row>
    <row r="1721" spans="1:6">
      <c r="A1721" s="1" t="inlineStr">
        <is>
          <t>DICP</t>
        </is>
      </c>
      <c r="B1721" s="3">
        <v>39449</v>
      </c>
      <c r="C1721" s="1">
        <v>66709.46634</v>
      </c>
      <c r="D1721" s="1">
        <v>2.17516</v>
      </c>
      <c r="E1721" s="1">
        <v>0</v>
      </c>
      <c r="F1721" s="1">
        <v>2.17516</v>
      </c>
    </row>
    <row r="1722" spans="1:6">
      <c r="A1722" s="1" t="inlineStr">
        <is>
          <t>DICP</t>
        </is>
      </c>
      <c r="B1722" s="3">
        <v>39629</v>
      </c>
      <c r="C1722" s="1">
        <v>66709.46634</v>
      </c>
      <c r="D1722" s="1">
        <v>2.32202</v>
      </c>
      <c r="E1722" s="1">
        <v>0</v>
      </c>
      <c r="F1722" s="1">
        <v>2.32202</v>
      </c>
    </row>
    <row r="1723" spans="1:6">
      <c r="A1723" s="1" t="inlineStr">
        <is>
          <t>DICP</t>
        </is>
      </c>
      <c r="B1723" s="3">
        <v>39813</v>
      </c>
      <c r="C1723" s="1">
        <v>66709.46634</v>
      </c>
      <c r="D1723" s="1">
        <v>2.42762</v>
      </c>
      <c r="E1723" s="1">
        <v>0</v>
      </c>
      <c r="F1723" s="1">
        <v>2.42762</v>
      </c>
    </row>
    <row r="1724" spans="1:6">
      <c r="A1724" s="1" t="inlineStr">
        <is>
          <t>DICP</t>
        </is>
      </c>
      <c r="B1724" s="3">
        <v>39994</v>
      </c>
      <c r="C1724" s="1">
        <v>66709.46634</v>
      </c>
      <c r="D1724" s="1">
        <v>3.68103</v>
      </c>
      <c r="E1724" s="1">
        <v>0</v>
      </c>
      <c r="F1724" s="1">
        <v>3.68103</v>
      </c>
    </row>
    <row r="1725" spans="1:6">
      <c r="A1725" s="1" t="inlineStr">
        <is>
          <t>DICP</t>
        </is>
      </c>
      <c r="B1725" s="3">
        <v>40178</v>
      </c>
      <c r="C1725" s="1">
        <v>66709.46634</v>
      </c>
      <c r="D1725" s="1">
        <v>3.86078</v>
      </c>
      <c r="E1725" s="1">
        <v>0</v>
      </c>
      <c r="F1725" s="1">
        <v>3.86078</v>
      </c>
    </row>
    <row r="1726" spans="1:6">
      <c r="A1726" s="1" t="inlineStr">
        <is>
          <t>DICP</t>
        </is>
      </c>
      <c r="B1726" s="3">
        <v>40359</v>
      </c>
      <c r="C1726" s="1">
        <v>66709.46634</v>
      </c>
      <c r="D1726" s="1">
        <v>4.13351</v>
      </c>
      <c r="E1726" s="1">
        <v>0</v>
      </c>
      <c r="F1726" s="1">
        <v>4.13351</v>
      </c>
    </row>
    <row r="1727" spans="1:6">
      <c r="A1727" s="1" t="inlineStr">
        <is>
          <t>DICP</t>
        </is>
      </c>
      <c r="B1727" s="3">
        <v>40546</v>
      </c>
      <c r="C1727" s="1">
        <v>66709.46634</v>
      </c>
      <c r="D1727" s="1">
        <v>4.36545</v>
      </c>
      <c r="E1727" s="1">
        <v>0</v>
      </c>
      <c r="F1727" s="1">
        <v>4.36545</v>
      </c>
    </row>
    <row r="1728" spans="1:6">
      <c r="A1728" s="1" t="inlineStr">
        <is>
          <t>DICP</t>
        </is>
      </c>
      <c r="B1728" s="3">
        <v>40724</v>
      </c>
      <c r="C1728" s="1">
        <v>66709.46634</v>
      </c>
      <c r="D1728" s="1">
        <v>4.61535</v>
      </c>
      <c r="E1728" s="1">
        <v>0</v>
      </c>
      <c r="F1728" s="1">
        <v>4.61535</v>
      </c>
    </row>
    <row r="1729" spans="1:6">
      <c r="A1729" s="1" t="inlineStr">
        <is>
          <t>DICP</t>
        </is>
      </c>
      <c r="B1729" s="3">
        <v>40911</v>
      </c>
      <c r="C1729" s="1">
        <v>66709.46634</v>
      </c>
      <c r="D1729" s="1">
        <v>4.87007</v>
      </c>
      <c r="E1729" s="1">
        <v>0</v>
      </c>
      <c r="F1729" s="1">
        <v>4.87007</v>
      </c>
    </row>
    <row r="1730" spans="1:6">
      <c r="A1730" s="1" t="inlineStr">
        <is>
          <t>DICP</t>
        </is>
      </c>
      <c r="B1730" s="3">
        <v>41092</v>
      </c>
      <c r="C1730" s="1">
        <v>66709.46634</v>
      </c>
      <c r="D1730" s="1">
        <v>5.15931</v>
      </c>
      <c r="E1730" s="1">
        <v>0</v>
      </c>
      <c r="F1730" s="1">
        <v>5.1593</v>
      </c>
    </row>
    <row r="1731" spans="1:6">
      <c r="A1731" s="1" t="inlineStr">
        <is>
          <t>DICP</t>
        </is>
      </c>
      <c r="B1731" s="3">
        <v>41274</v>
      </c>
      <c r="C1731" s="1">
        <v>66709.46634</v>
      </c>
      <c r="D1731" s="1">
        <v>5.46533</v>
      </c>
      <c r="E1731" s="1">
        <v>0</v>
      </c>
      <c r="F1731" s="1">
        <v>5.46533</v>
      </c>
    </row>
    <row r="1732" spans="1:6">
      <c r="A1732" s="1" t="inlineStr">
        <is>
          <t>DICP</t>
        </is>
      </c>
      <c r="B1732" s="3">
        <v>41456</v>
      </c>
      <c r="C1732" s="1">
        <v>66709.46634</v>
      </c>
      <c r="D1732" s="1">
        <v>5.79586</v>
      </c>
      <c r="E1732" s="1">
        <v>0</v>
      </c>
      <c r="F1732" s="1">
        <v>5.79586</v>
      </c>
    </row>
    <row r="1733" spans="1:6">
      <c r="A1733" s="1" t="inlineStr">
        <is>
          <t>DICP</t>
        </is>
      </c>
      <c r="B1733" s="3">
        <v>41641</v>
      </c>
      <c r="C1733" s="1">
        <v>66709.46634</v>
      </c>
      <c r="D1733" s="1">
        <v>6.14894</v>
      </c>
      <c r="E1733" s="1">
        <v>0</v>
      </c>
      <c r="F1733" s="1">
        <v>6.14894</v>
      </c>
    </row>
    <row r="1734" spans="1:6">
      <c r="A1734" s="1" t="inlineStr">
        <is>
          <t>DICP</t>
        </is>
      </c>
      <c r="B1734" s="3">
        <v>41820</v>
      </c>
      <c r="C1734" s="1">
        <v>66709.46634</v>
      </c>
      <c r="D1734" s="1">
        <v>10.21603</v>
      </c>
      <c r="E1734" s="1">
        <v>0</v>
      </c>
      <c r="F1734" s="1">
        <v>10.21603</v>
      </c>
    </row>
    <row r="1735" spans="1:6">
      <c r="A1735" s="1" t="inlineStr">
        <is>
          <t>DICP</t>
        </is>
      </c>
      <c r="B1735" s="3">
        <v>42006</v>
      </c>
      <c r="C1735" s="1">
        <v>66709.46634</v>
      </c>
      <c r="D1735" s="1">
        <v>11.07116</v>
      </c>
      <c r="E1735" s="1">
        <v>0</v>
      </c>
      <c r="F1735" s="1">
        <v>11.07116</v>
      </c>
    </row>
    <row r="1736" spans="1:6">
      <c r="A1736" s="1" t="inlineStr">
        <is>
          <t>DICP</t>
        </is>
      </c>
      <c r="B1736" s="3">
        <v>42185</v>
      </c>
      <c r="C1736" s="1">
        <v>66709.46634</v>
      </c>
      <c r="D1736" s="1">
        <v>11.83004</v>
      </c>
      <c r="E1736" s="1">
        <v>0</v>
      </c>
      <c r="F1736" s="1">
        <v>11.83004</v>
      </c>
    </row>
    <row r="1737" spans="1:6">
      <c r="A1737" s="1" t="inlineStr">
        <is>
          <t>DICP</t>
        </is>
      </c>
      <c r="B1737" s="3">
        <v>42369</v>
      </c>
      <c r="C1737" s="1">
        <v>66709.46634</v>
      </c>
      <c r="D1737" s="1">
        <v>12.69109</v>
      </c>
      <c r="E1737" s="1">
        <v>0</v>
      </c>
      <c r="F1737" s="1">
        <v>12.69109</v>
      </c>
    </row>
    <row r="1738" spans="1:6">
      <c r="A1738" s="1" t="inlineStr">
        <is>
          <t>DICP</t>
        </is>
      </c>
      <c r="B1738" s="3">
        <v>42551</v>
      </c>
      <c r="C1738" s="1">
        <v>66709.46634</v>
      </c>
      <c r="D1738" s="1">
        <v>15.21798</v>
      </c>
      <c r="E1738" s="1">
        <v>0</v>
      </c>
      <c r="F1738" s="1">
        <v>15.21798</v>
      </c>
    </row>
    <row r="1739" spans="1:6">
      <c r="A1739" s="1" t="inlineStr">
        <is>
          <t>DICP</t>
        </is>
      </c>
      <c r="B1739" s="3">
        <v>42737</v>
      </c>
      <c r="C1739" s="1">
        <v>66709.46634</v>
      </c>
      <c r="D1739" s="1">
        <v>17.29028</v>
      </c>
      <c r="E1739" s="1">
        <v>0</v>
      </c>
      <c r="F1739" s="1">
        <v>17.29028</v>
      </c>
    </row>
    <row r="1740" spans="1:6">
      <c r="A1740" s="1" t="inlineStr">
        <is>
          <t>DICP</t>
        </is>
      </c>
      <c r="B1740" s="3">
        <v>42916</v>
      </c>
      <c r="C1740" s="1">
        <v>66709.46634</v>
      </c>
      <c r="D1740" s="1">
        <v>19.35111</v>
      </c>
      <c r="E1740" s="1">
        <v>0</v>
      </c>
      <c r="F1740" s="1">
        <v>19.3511</v>
      </c>
    </row>
    <row r="1741" spans="1:6">
      <c r="A1741" s="1" t="inlineStr">
        <is>
          <t>DICP</t>
        </is>
      </c>
      <c r="B1741" s="3">
        <v>43102</v>
      </c>
      <c r="C1741" s="1">
        <v>66709.46634</v>
      </c>
      <c r="D1741" s="1">
        <v>21.17391</v>
      </c>
      <c r="E1741" s="1">
        <v>0</v>
      </c>
      <c r="F1741" s="1">
        <v>21.17391</v>
      </c>
    </row>
    <row r="1742" spans="1:6">
      <c r="A1742" s="1" t="inlineStr">
        <is>
          <t>DICP</t>
        </is>
      </c>
      <c r="B1742" s="3">
        <v>43283</v>
      </c>
      <c r="C1742" s="1">
        <v>66709.46634</v>
      </c>
      <c r="D1742" s="1">
        <v>24.25867</v>
      </c>
      <c r="E1742" s="1">
        <v>0</v>
      </c>
      <c r="F1742" s="1">
        <v>24.25867</v>
      </c>
    </row>
    <row r="1743" spans="1:6">
      <c r="A1743" s="1" t="inlineStr">
        <is>
          <t>DICP</t>
        </is>
      </c>
      <c r="B1743" s="3">
        <v>43467</v>
      </c>
      <c r="C1743" s="1">
        <v>66709.46634</v>
      </c>
      <c r="D1743" s="1">
        <v>30.77617</v>
      </c>
      <c r="E1743" s="1">
        <v>0</v>
      </c>
      <c r="F1743" s="1">
        <v>30.77617</v>
      </c>
    </row>
    <row r="1744" spans="1:6">
      <c r="A1744" s="1" t="inlineStr">
        <is>
          <t>DICP</t>
        </is>
      </c>
      <c r="B1744" s="3">
        <v>43647</v>
      </c>
      <c r="C1744" s="1">
        <v>66709.46634</v>
      </c>
      <c r="D1744" s="1">
        <v>37.7316</v>
      </c>
      <c r="E1744" s="1">
        <v>0</v>
      </c>
      <c r="F1744" s="1">
        <v>37.7316</v>
      </c>
    </row>
    <row r="1745" spans="1:6">
      <c r="A1745" s="1" t="inlineStr">
        <is>
          <t>DICP</t>
        </is>
      </c>
      <c r="B1745" s="3">
        <v>43832</v>
      </c>
      <c r="C1745" s="1">
        <v>66709.46634</v>
      </c>
      <c r="D1745" s="1">
        <v>46.45319</v>
      </c>
      <c r="E1745" s="1">
        <v>0</v>
      </c>
      <c r="F1745" s="1">
        <v>46.45319</v>
      </c>
    </row>
    <row r="1746" spans="1:6">
      <c r="A1746" s="1" t="inlineStr">
        <is>
          <t>DICP</t>
        </is>
      </c>
      <c r="B1746" s="3">
        <v>44012</v>
      </c>
      <c r="C1746" s="1">
        <v>66709.46634</v>
      </c>
      <c r="D1746" s="1">
        <v>55.11555</v>
      </c>
      <c r="E1746" s="1">
        <v>0</v>
      </c>
      <c r="F1746" s="1">
        <v>55.11555</v>
      </c>
    </row>
    <row r="1747" spans="1:6">
      <c r="A1747" s="1" t="inlineStr">
        <is>
          <t>DICP</t>
        </is>
      </c>
      <c r="B1747" s="3">
        <v>44200</v>
      </c>
      <c r="C1747" s="1">
        <v>66709.46634</v>
      </c>
      <c r="D1747" s="1">
        <v>63.81307</v>
      </c>
      <c r="E1747" s="1">
        <v>0</v>
      </c>
      <c r="F1747" s="1">
        <v>63.81307</v>
      </c>
    </row>
    <row r="1748" spans="1:6">
      <c r="A1748" s="1" t="inlineStr">
        <is>
          <t>DICP</t>
        </is>
      </c>
      <c r="B1748" s="3">
        <v>44377</v>
      </c>
      <c r="C1748" s="1">
        <v>66709.46634</v>
      </c>
      <c r="D1748" s="1">
        <v>80.50588</v>
      </c>
      <c r="E1748" s="1">
        <v>0</v>
      </c>
      <c r="F1748" s="1">
        <v>80.50588</v>
      </c>
    </row>
    <row r="1749" spans="1:6">
      <c r="A1749" s="1" t="inlineStr">
        <is>
          <t>DICP</t>
        </is>
      </c>
      <c r="B1749" s="3">
        <v>44564</v>
      </c>
      <c r="C1749" s="1">
        <v>66709.46634</v>
      </c>
      <c r="D1749" s="1">
        <v>97.13946</v>
      </c>
      <c r="E1749" s="1">
        <v>0</v>
      </c>
      <c r="F1749" s="1">
        <v>97.13946</v>
      </c>
    </row>
    <row r="1750" spans="1:6">
      <c r="A1750" s="1" t="inlineStr">
        <is>
          <t>DICP</t>
        </is>
      </c>
      <c r="B1750" s="3">
        <v>44742</v>
      </c>
      <c r="C1750" s="1">
        <v>66709.46634</v>
      </c>
      <c r="D1750" s="1">
        <v>126.82025</v>
      </c>
      <c r="E1750" s="1">
        <v>0</v>
      </c>
      <c r="F1750" s="1">
        <v>126.82025</v>
      </c>
    </row>
    <row r="1751" spans="1:6">
      <c r="A1751" s="1" t="inlineStr">
        <is>
          <t>DICP</t>
        </is>
      </c>
      <c r="B1751" s="3">
        <v>44928</v>
      </c>
      <c r="C1751" s="1">
        <v>66709.46634</v>
      </c>
      <c r="D1751" s="1">
        <v>183.55315</v>
      </c>
      <c r="E1751" s="1">
        <v>0</v>
      </c>
      <c r="F1751" s="1">
        <v>183.55315</v>
      </c>
    </row>
    <row r="1752" spans="1:6">
      <c r="A1752" s="1" t="inlineStr">
        <is>
          <t>DICP</t>
        </is>
      </c>
      <c r="B1752" s="3">
        <v>45107</v>
      </c>
      <c r="C1752" s="1">
        <v>66709.46634</v>
      </c>
      <c r="D1752" s="1">
        <v>264.62875</v>
      </c>
      <c r="E1752" s="1">
        <v>0</v>
      </c>
      <c r="F1752" s="1">
        <v>264.62875</v>
      </c>
    </row>
    <row r="1753" spans="1:6">
      <c r="A1753" s="1" t="inlineStr">
        <is>
          <t>DICP</t>
        </is>
      </c>
      <c r="B1753" s="3">
        <v>45293</v>
      </c>
      <c r="C1753" s="1">
        <v>66709.46634</v>
      </c>
      <c r="D1753" s="1">
        <v>442.12381</v>
      </c>
      <c r="E1753" s="1">
        <v>0</v>
      </c>
      <c r="F1753" s="1">
        <v>442.12381</v>
      </c>
    </row>
    <row r="1754" spans="1:6">
      <c r="A1754" s="1" t="inlineStr">
        <is>
          <t>DICP</t>
        </is>
      </c>
      <c r="B1754" s="3">
        <v>45474</v>
      </c>
      <c r="C1754" s="1">
        <v>66709.46634</v>
      </c>
      <c r="D1754" s="1">
        <v>1023.52316</v>
      </c>
      <c r="E1754" s="1">
        <v>1755.61435</v>
      </c>
      <c r="F1754" s="1">
        <v>2779.13751</v>
      </c>
    </row>
    <row r="1755" spans="1:6">
      <c r="A1755" s="1" t="inlineStr">
        <is>
          <t>DICP</t>
        </is>
      </c>
      <c r="B1755" s="3">
        <v>45659</v>
      </c>
      <c r="C1755" s="1">
        <v>64953.85199</v>
      </c>
      <c r="D1755" s="1">
        <v>1228.58691</v>
      </c>
      <c r="E1755" s="1">
        <v>2218.26653</v>
      </c>
      <c r="F1755" s="1">
        <v>3446.85344</v>
      </c>
    </row>
    <row r="1756" spans="1:6">
      <c r="A1756" s="1" t="inlineStr">
        <is>
          <t>DICP</t>
        </is>
      </c>
      <c r="B1756" s="3">
        <v>45838</v>
      </c>
      <c r="C1756" s="1">
        <v>62735.58546</v>
      </c>
      <c r="D1756" s="1">
        <v>1364.35876</v>
      </c>
      <c r="E1756" s="1">
        <v>2600.26446</v>
      </c>
      <c r="F1756" s="1">
        <v>3964.62322</v>
      </c>
    </row>
    <row r="1757" spans="1:6">
      <c r="A1757" s="1" t="inlineStr">
        <is>
          <t>DICP</t>
        </is>
      </c>
      <c r="B1757" s="3">
        <v>46024</v>
      </c>
      <c r="C1757" s="1">
        <v>60135.321</v>
      </c>
      <c r="D1757" s="1">
        <v>1445.02427</v>
      </c>
      <c r="E1757" s="1">
        <v>2916.00095</v>
      </c>
      <c r="F1757" s="1">
        <v>4361.02521</v>
      </c>
    </row>
    <row r="1758" spans="1:6">
      <c r="A1758" s="1" t="inlineStr">
        <is>
          <t>DICP</t>
        </is>
      </c>
      <c r="B1758" s="3">
        <v>46203</v>
      </c>
      <c r="C1758" s="1">
        <v>57219.32005</v>
      </c>
      <c r="D1758" s="1">
        <v>1610.87822</v>
      </c>
      <c r="E1758" s="1">
        <v>3453.85555</v>
      </c>
      <c r="F1758" s="1">
        <v>5064.73377</v>
      </c>
    </row>
    <row r="1759" spans="1:6">
      <c r="A1759" s="1" t="inlineStr">
        <is>
          <t>DICP</t>
        </is>
      </c>
      <c r="B1759" s="3">
        <v>46391</v>
      </c>
      <c r="C1759" s="1">
        <v>53765.4645</v>
      </c>
      <c r="D1759" s="1">
        <v>1567.26329</v>
      </c>
      <c r="E1759" s="1">
        <v>3584.3643</v>
      </c>
      <c r="F1759" s="1">
        <v>5151.62759</v>
      </c>
    </row>
    <row r="1760" spans="1:6">
      <c r="A1760" s="1" t="inlineStr">
        <is>
          <t>DICP</t>
        </is>
      </c>
      <c r="B1760" s="3">
        <v>46568</v>
      </c>
      <c r="C1760" s="1">
        <v>50181.1002</v>
      </c>
      <c r="D1760" s="1">
        <v>1462.77907</v>
      </c>
      <c r="E1760" s="1">
        <v>3584.3643</v>
      </c>
      <c r="F1760" s="1">
        <v>5047.14337</v>
      </c>
    </row>
    <row r="1761" spans="1:6">
      <c r="A1761" s="1" t="inlineStr">
        <is>
          <t>DICP</t>
        </is>
      </c>
      <c r="B1761" s="3">
        <v>46752</v>
      </c>
      <c r="C1761" s="1">
        <v>46596.7359</v>
      </c>
      <c r="D1761" s="1">
        <v>1358.29485</v>
      </c>
      <c r="E1761" s="1">
        <v>3584.3643</v>
      </c>
      <c r="F1761" s="1">
        <v>4942.65915</v>
      </c>
    </row>
    <row r="1762" spans="1:6">
      <c r="A1762" s="1" t="inlineStr">
        <is>
          <t>DICP</t>
        </is>
      </c>
      <c r="B1762" s="3">
        <v>46934</v>
      </c>
      <c r="C1762" s="1">
        <v>43012.3716</v>
      </c>
      <c r="D1762" s="1">
        <v>1253.81063</v>
      </c>
      <c r="E1762" s="1">
        <v>3584.3643</v>
      </c>
      <c r="F1762" s="1">
        <v>4838.17493</v>
      </c>
    </row>
    <row r="1763" spans="1:6">
      <c r="A1763" s="1" t="inlineStr">
        <is>
          <t>DICP</t>
        </is>
      </c>
      <c r="B1763" s="3">
        <v>47120</v>
      </c>
      <c r="C1763" s="1">
        <v>39428.0073</v>
      </c>
      <c r="D1763" s="1">
        <v>1149.32641</v>
      </c>
      <c r="E1763" s="1">
        <v>3584.3643</v>
      </c>
      <c r="F1763" s="1">
        <v>4733.69071</v>
      </c>
    </row>
    <row r="1764" spans="1:6">
      <c r="A1764" s="1" t="inlineStr">
        <is>
          <t>DICP</t>
        </is>
      </c>
      <c r="B1764" s="3">
        <v>47301</v>
      </c>
      <c r="C1764" s="1">
        <v>35843.643</v>
      </c>
      <c r="D1764" s="1">
        <v>1044.84219</v>
      </c>
      <c r="E1764" s="1">
        <v>3584.3643</v>
      </c>
      <c r="F1764" s="1">
        <v>4629.20649</v>
      </c>
    </row>
    <row r="1765" spans="1:6">
      <c r="A1765" s="1" t="inlineStr">
        <is>
          <t>DICP</t>
        </is>
      </c>
      <c r="B1765" s="3">
        <v>47483</v>
      </c>
      <c r="C1765" s="1">
        <v>32259.2787</v>
      </c>
      <c r="D1765" s="1">
        <v>940.35797</v>
      </c>
      <c r="E1765" s="1">
        <v>3584.3643</v>
      </c>
      <c r="F1765" s="1">
        <v>4524.72227</v>
      </c>
    </row>
    <row r="1766" spans="1:6">
      <c r="A1766" s="1" t="inlineStr">
        <is>
          <t>DICP</t>
        </is>
      </c>
      <c r="B1766" s="3">
        <v>47665</v>
      </c>
      <c r="C1766" s="1">
        <v>28674.9144</v>
      </c>
      <c r="D1766" s="1">
        <v>835.87375</v>
      </c>
      <c r="E1766" s="1">
        <v>3584.3643</v>
      </c>
      <c r="F1766" s="1">
        <v>4420.23805</v>
      </c>
    </row>
    <row r="1767" spans="1:6">
      <c r="A1767" s="1" t="inlineStr">
        <is>
          <t>DICP</t>
        </is>
      </c>
      <c r="B1767" s="3">
        <v>47848</v>
      </c>
      <c r="C1767" s="1">
        <v>25090.5501</v>
      </c>
      <c r="D1767" s="1">
        <v>731.38953</v>
      </c>
      <c r="E1767" s="1">
        <v>3584.3643</v>
      </c>
      <c r="F1767" s="1">
        <v>4315.75383</v>
      </c>
    </row>
    <row r="1768" spans="1:6">
      <c r="A1768" s="1" t="inlineStr">
        <is>
          <t>DICP</t>
        </is>
      </c>
      <c r="B1768" s="3">
        <v>48029</v>
      </c>
      <c r="C1768" s="1">
        <v>21506.1858</v>
      </c>
      <c r="D1768" s="1">
        <v>626.90531</v>
      </c>
      <c r="E1768" s="1">
        <v>3584.3643</v>
      </c>
      <c r="F1768" s="1">
        <v>4211.26961</v>
      </c>
    </row>
    <row r="1769" spans="1:6">
      <c r="A1769" s="1" t="inlineStr">
        <is>
          <t>DICP</t>
        </is>
      </c>
      <c r="B1769" s="3">
        <v>48213</v>
      </c>
      <c r="C1769" s="1">
        <v>17921.8215</v>
      </c>
      <c r="D1769" s="1">
        <v>522.42109</v>
      </c>
      <c r="E1769" s="1">
        <v>3584.3643</v>
      </c>
      <c r="F1769" s="1">
        <v>4106.78539</v>
      </c>
    </row>
    <row r="1770" spans="1:6">
      <c r="A1770" s="1" t="inlineStr">
        <is>
          <t>DICP</t>
        </is>
      </c>
      <c r="B1770" s="3">
        <v>48395</v>
      </c>
      <c r="C1770" s="1">
        <v>14337.4572</v>
      </c>
      <c r="D1770" s="1">
        <v>417.93687</v>
      </c>
      <c r="E1770" s="1">
        <v>3584.3643</v>
      </c>
      <c r="F1770" s="1">
        <v>4002.30117</v>
      </c>
    </row>
    <row r="1771" spans="1:6">
      <c r="A1771" s="1" t="inlineStr">
        <is>
          <t>DICP</t>
        </is>
      </c>
      <c r="B1771" s="3">
        <v>48579</v>
      </c>
      <c r="C1771" s="1">
        <v>10753.0929</v>
      </c>
      <c r="D1771" s="1">
        <v>313.45265</v>
      </c>
      <c r="E1771" s="1">
        <v>3584.3643</v>
      </c>
      <c r="F1771" s="1">
        <v>3897.81695</v>
      </c>
    </row>
    <row r="1772" spans="1:6">
      <c r="A1772" s="1" t="inlineStr">
        <is>
          <t>DICP</t>
        </is>
      </c>
      <c r="B1772" s="3">
        <v>48760</v>
      </c>
      <c r="C1772" s="1">
        <v>7168.7286</v>
      </c>
      <c r="D1772" s="1">
        <v>208.96843</v>
      </c>
      <c r="E1772" s="1">
        <v>3584.3643</v>
      </c>
      <c r="F1772" s="1">
        <v>3793.33273</v>
      </c>
    </row>
    <row r="1773" spans="1:6">
      <c r="A1773" s="1" t="inlineStr">
        <is>
          <t>DICP</t>
        </is>
      </c>
      <c r="B1773" s="3">
        <v>48946</v>
      </c>
      <c r="C1773" s="1">
        <v>3584.3643</v>
      </c>
      <c r="D1773" s="1">
        <v>104.48421</v>
      </c>
      <c r="E1773" s="1">
        <v>3584.3643</v>
      </c>
      <c r="F1773" s="1">
        <v>3688.84851</v>
      </c>
    </row>
    <row r="1774" spans="1:6">
      <c r="A1774" s="1" t="inlineStr">
        <is>
          <t>PARP</t>
        </is>
      </c>
      <c r="B1774" s="3">
        <v>38260</v>
      </c>
      <c r="C1774" s="1">
        <v>56449.54</v>
      </c>
      <c r="D1774" s="1">
        <v>0.49281</v>
      </c>
      <c r="E1774" s="1">
        <v>0</v>
      </c>
      <c r="F1774" s="1">
        <v>0.49281</v>
      </c>
    </row>
    <row r="1775" spans="1:6">
      <c r="A1775" s="1" t="inlineStr">
        <is>
          <t>PARP</t>
        </is>
      </c>
      <c r="B1775" s="3">
        <v>38442</v>
      </c>
      <c r="C1775" s="1">
        <v>56449.54</v>
      </c>
      <c r="D1775" s="1">
        <v>0.34133</v>
      </c>
      <c r="E1775" s="1">
        <v>0</v>
      </c>
      <c r="F1775" s="1">
        <v>0.34133</v>
      </c>
    </row>
    <row r="1776" spans="1:6">
      <c r="A1776" s="1" t="inlineStr">
        <is>
          <t>PARP</t>
        </is>
      </c>
      <c r="B1776" s="3">
        <v>38625</v>
      </c>
      <c r="C1776" s="1">
        <v>56449.54</v>
      </c>
      <c r="D1776" s="1">
        <v>0.36007</v>
      </c>
      <c r="E1776" s="1">
        <v>0</v>
      </c>
      <c r="F1776" s="1">
        <v>0.36007</v>
      </c>
    </row>
    <row r="1777" spans="1:6">
      <c r="A1777" s="1" t="inlineStr">
        <is>
          <t>PARP</t>
        </is>
      </c>
      <c r="B1777" s="3">
        <v>38807</v>
      </c>
      <c r="C1777" s="1">
        <v>56449.54</v>
      </c>
      <c r="D1777" s="1">
        <v>0.38203</v>
      </c>
      <c r="E1777" s="1">
        <v>0</v>
      </c>
      <c r="F1777" s="1">
        <v>0.38203</v>
      </c>
    </row>
    <row r="1778" spans="1:6">
      <c r="A1778" s="1" t="inlineStr">
        <is>
          <t>PARP</t>
        </is>
      </c>
      <c r="B1778" s="3">
        <v>38992</v>
      </c>
      <c r="C1778" s="1">
        <v>56449.54</v>
      </c>
      <c r="D1778" s="1">
        <v>0.39853</v>
      </c>
      <c r="E1778" s="1">
        <v>0</v>
      </c>
      <c r="F1778" s="1">
        <v>0.39853</v>
      </c>
    </row>
    <row r="1779" spans="1:6">
      <c r="A1779" s="1" t="inlineStr">
        <is>
          <t>PARP</t>
        </is>
      </c>
      <c r="B1779" s="3">
        <v>39175</v>
      </c>
      <c r="C1779" s="1">
        <v>56449.54</v>
      </c>
      <c r="D1779" s="1">
        <v>0.41907</v>
      </c>
      <c r="E1779" s="1">
        <v>0</v>
      </c>
      <c r="F1779" s="1">
        <v>0.41907</v>
      </c>
    </row>
    <row r="1780" spans="1:6">
      <c r="A1780" s="1" t="inlineStr">
        <is>
          <t>PARP</t>
        </is>
      </c>
      <c r="B1780" s="3">
        <v>39356</v>
      </c>
      <c r="C1780" s="1">
        <v>56449.54</v>
      </c>
      <c r="D1780" s="1">
        <v>0.4329</v>
      </c>
      <c r="E1780" s="1">
        <v>0</v>
      </c>
      <c r="F1780" s="1">
        <v>0.4329</v>
      </c>
    </row>
    <row r="1781" spans="1:6">
      <c r="A1781" s="1" t="inlineStr">
        <is>
          <t>PARP</t>
        </is>
      </c>
      <c r="B1781" s="3">
        <v>39538</v>
      </c>
      <c r="C1781" s="1">
        <v>56449.54</v>
      </c>
      <c r="D1781" s="1">
        <v>0.45344</v>
      </c>
      <c r="E1781" s="1">
        <v>0</v>
      </c>
      <c r="F1781" s="1">
        <v>0.45344</v>
      </c>
    </row>
    <row r="1782" spans="1:6">
      <c r="A1782" s="1" t="inlineStr">
        <is>
          <t>PARP</t>
        </is>
      </c>
      <c r="B1782" s="3">
        <v>39721</v>
      </c>
      <c r="C1782" s="1">
        <v>56449.54</v>
      </c>
      <c r="D1782" s="1">
        <v>0.47215</v>
      </c>
      <c r="E1782" s="1">
        <v>0</v>
      </c>
      <c r="F1782" s="1">
        <v>0.47215</v>
      </c>
    </row>
    <row r="1783" spans="1:6">
      <c r="A1783" s="1" t="inlineStr">
        <is>
          <t>PARP</t>
        </is>
      </c>
      <c r="B1783" s="3">
        <v>39903</v>
      </c>
      <c r="C1783" s="1">
        <v>56449.54</v>
      </c>
      <c r="D1783" s="1">
        <v>0.48453</v>
      </c>
      <c r="E1783" s="1">
        <v>0</v>
      </c>
      <c r="F1783" s="1">
        <v>0.48453</v>
      </c>
    </row>
    <row r="1784" spans="1:6">
      <c r="A1784" s="1" t="inlineStr">
        <is>
          <t>PARP</t>
        </is>
      </c>
      <c r="B1784" s="3">
        <v>40086</v>
      </c>
      <c r="C1784" s="1">
        <v>56449.54</v>
      </c>
      <c r="D1784" s="1">
        <v>0.93432</v>
      </c>
      <c r="E1784" s="1">
        <v>0</v>
      </c>
      <c r="F1784" s="1">
        <v>0.93432</v>
      </c>
    </row>
    <row r="1785" spans="1:6">
      <c r="A1785" s="1" t="inlineStr">
        <is>
          <t>PARP</t>
        </is>
      </c>
      <c r="B1785" s="3">
        <v>40268</v>
      </c>
      <c r="C1785" s="1">
        <v>56449.54</v>
      </c>
      <c r="D1785" s="1">
        <v>0.98482</v>
      </c>
      <c r="E1785" s="1">
        <v>0</v>
      </c>
      <c r="F1785" s="1">
        <v>0.98482</v>
      </c>
    </row>
    <row r="1786" spans="1:6">
      <c r="A1786" s="1" t="inlineStr">
        <is>
          <t>PARP</t>
        </is>
      </c>
      <c r="B1786" s="3">
        <v>40451</v>
      </c>
      <c r="C1786" s="1">
        <v>56449.54</v>
      </c>
      <c r="D1786" s="1">
        <v>1.03869</v>
      </c>
      <c r="E1786" s="1">
        <v>0</v>
      </c>
      <c r="F1786" s="1">
        <v>1.03868</v>
      </c>
    </row>
    <row r="1787" spans="1:6">
      <c r="A1787" s="1" t="inlineStr">
        <is>
          <t>PARP</t>
        </is>
      </c>
      <c r="B1787" s="3">
        <v>40633</v>
      </c>
      <c r="C1787" s="1">
        <v>56449.54</v>
      </c>
      <c r="D1787" s="1">
        <v>1.08701</v>
      </c>
      <c r="E1787" s="1">
        <v>0</v>
      </c>
      <c r="F1787" s="1">
        <v>1.08701</v>
      </c>
    </row>
    <row r="1788" spans="1:6">
      <c r="A1788" s="1" t="inlineStr">
        <is>
          <t>PARP</t>
        </is>
      </c>
      <c r="B1788" s="3">
        <v>40816</v>
      </c>
      <c r="C1788" s="1">
        <v>56449.54</v>
      </c>
      <c r="D1788" s="1">
        <v>1.13946</v>
      </c>
      <c r="E1788" s="1">
        <v>0</v>
      </c>
      <c r="F1788" s="1">
        <v>1.13945</v>
      </c>
    </row>
    <row r="1789" spans="1:6">
      <c r="A1789" s="1" t="inlineStr">
        <is>
          <t>PARP</t>
        </is>
      </c>
      <c r="B1789" s="3">
        <v>41002</v>
      </c>
      <c r="C1789" s="1">
        <v>56449.54</v>
      </c>
      <c r="D1789" s="1">
        <v>1.19368</v>
      </c>
      <c r="E1789" s="1">
        <v>0</v>
      </c>
      <c r="F1789" s="1">
        <v>1.19368</v>
      </c>
    </row>
    <row r="1790" spans="1:6">
      <c r="A1790" s="1" t="inlineStr">
        <is>
          <t>PARP</t>
        </is>
      </c>
      <c r="B1790" s="3">
        <v>41183</v>
      </c>
      <c r="C1790" s="1">
        <v>56449.54</v>
      </c>
      <c r="D1790" s="1">
        <v>1.25174</v>
      </c>
      <c r="E1790" s="1">
        <v>0</v>
      </c>
      <c r="F1790" s="1">
        <v>1.25174</v>
      </c>
    </row>
    <row r="1791" spans="1:6">
      <c r="A1791" s="1" t="inlineStr">
        <is>
          <t>PARP</t>
        </is>
      </c>
      <c r="B1791" s="3">
        <v>41367</v>
      </c>
      <c r="C1791" s="1">
        <v>56449.54</v>
      </c>
      <c r="D1791" s="1">
        <v>1.32384</v>
      </c>
      <c r="E1791" s="1">
        <v>0</v>
      </c>
      <c r="F1791" s="1">
        <v>1.32384</v>
      </c>
    </row>
    <row r="1792" spans="1:6">
      <c r="A1792" s="1" t="inlineStr">
        <is>
          <t>PARP</t>
        </is>
      </c>
      <c r="B1792" s="3">
        <v>41547</v>
      </c>
      <c r="C1792" s="1">
        <v>56449.54</v>
      </c>
      <c r="D1792" s="1">
        <v>1.38502</v>
      </c>
      <c r="E1792" s="1">
        <v>0</v>
      </c>
      <c r="F1792" s="1">
        <v>1.38502</v>
      </c>
    </row>
    <row r="1793" spans="1:6">
      <c r="A1793" s="1" t="inlineStr">
        <is>
          <t>PARP</t>
        </is>
      </c>
      <c r="B1793" s="3">
        <v>41729</v>
      </c>
      <c r="C1793" s="1">
        <v>56449.54</v>
      </c>
      <c r="D1793" s="1">
        <v>1.51547</v>
      </c>
      <c r="E1793" s="1">
        <v>0</v>
      </c>
      <c r="F1793" s="1">
        <v>1.51547</v>
      </c>
    </row>
    <row r="1794" spans="1:6">
      <c r="A1794" s="1" t="inlineStr">
        <is>
          <t>PARP</t>
        </is>
      </c>
      <c r="B1794" s="3">
        <v>41912</v>
      </c>
      <c r="C1794" s="1">
        <v>56449.54</v>
      </c>
      <c r="D1794" s="1">
        <v>1.69872</v>
      </c>
      <c r="E1794" s="1">
        <v>0</v>
      </c>
      <c r="F1794" s="1">
        <v>1.69872</v>
      </c>
    </row>
    <row r="1795" spans="1:6">
      <c r="A1795" s="1" t="inlineStr">
        <is>
          <t>PARP</t>
        </is>
      </c>
      <c r="B1795" s="3">
        <v>42094</v>
      </c>
      <c r="C1795" s="1">
        <v>56449.54</v>
      </c>
      <c r="D1795" s="1">
        <v>1.82032</v>
      </c>
      <c r="E1795" s="1">
        <v>0</v>
      </c>
      <c r="F1795" s="1">
        <v>1.82032</v>
      </c>
    </row>
    <row r="1796" spans="1:6">
      <c r="A1796" s="1" t="inlineStr">
        <is>
          <t>PARP</t>
        </is>
      </c>
      <c r="B1796" s="3">
        <v>42277</v>
      </c>
      <c r="C1796" s="1">
        <v>56449.54</v>
      </c>
      <c r="D1796" s="1">
        <v>1.94989</v>
      </c>
      <c r="E1796" s="1">
        <v>0</v>
      </c>
      <c r="F1796" s="1">
        <v>1.94989</v>
      </c>
    </row>
    <row r="1797" spans="1:6">
      <c r="A1797" s="1" t="inlineStr">
        <is>
          <t>PARP</t>
        </is>
      </c>
      <c r="B1797" s="3">
        <v>42460</v>
      </c>
      <c r="C1797" s="1">
        <v>56449.54</v>
      </c>
      <c r="D1797" s="1">
        <v>2.21308</v>
      </c>
      <c r="E1797" s="1">
        <v>0</v>
      </c>
      <c r="F1797" s="1">
        <v>2.21308</v>
      </c>
    </row>
    <row r="1798" spans="1:6">
      <c r="A1798" s="1" t="inlineStr">
        <is>
          <t>PARP</t>
        </is>
      </c>
      <c r="B1798" s="3">
        <v>42643</v>
      </c>
      <c r="C1798" s="1">
        <v>56449.54</v>
      </c>
      <c r="D1798" s="1">
        <v>2.65098</v>
      </c>
      <c r="E1798" s="1">
        <v>0</v>
      </c>
      <c r="F1798" s="1">
        <v>2.65098</v>
      </c>
    </row>
    <row r="1799" spans="1:6">
      <c r="A1799" s="1" t="inlineStr">
        <is>
          <t>PARP</t>
        </is>
      </c>
      <c r="B1799" s="3">
        <v>42825</v>
      </c>
      <c r="C1799" s="1">
        <v>56449.54</v>
      </c>
      <c r="D1799" s="1">
        <v>2.86616</v>
      </c>
      <c r="E1799" s="1">
        <v>0</v>
      </c>
      <c r="F1799" s="1">
        <v>2.86616</v>
      </c>
    </row>
    <row r="1800" spans="1:6">
      <c r="A1800" s="1" t="inlineStr">
        <is>
          <t>PARP</t>
        </is>
      </c>
      <c r="B1800" s="3">
        <v>43010</v>
      </c>
      <c r="C1800" s="1">
        <v>56449.54</v>
      </c>
      <c r="D1800" s="1">
        <v>3.21945</v>
      </c>
      <c r="E1800" s="1">
        <v>0</v>
      </c>
      <c r="F1800" s="1">
        <v>3.21945</v>
      </c>
    </row>
    <row r="1801" spans="1:6">
      <c r="A1801" s="1" t="inlineStr">
        <is>
          <t>PARP</t>
        </is>
      </c>
      <c r="B1801" s="3">
        <v>43193</v>
      </c>
      <c r="C1801" s="1">
        <v>56449.54</v>
      </c>
      <c r="D1801" s="1">
        <v>3.5938</v>
      </c>
      <c r="E1801" s="1">
        <v>0</v>
      </c>
      <c r="F1801" s="1">
        <v>3.5938</v>
      </c>
    </row>
    <row r="1802" spans="1:6">
      <c r="A1802" s="1" t="inlineStr">
        <is>
          <t>PARP</t>
        </is>
      </c>
      <c r="B1802" s="3">
        <v>43374</v>
      </c>
      <c r="C1802" s="1">
        <v>56449.54</v>
      </c>
      <c r="D1802" s="1">
        <v>4.23124</v>
      </c>
      <c r="E1802" s="1">
        <v>0</v>
      </c>
      <c r="F1802" s="1">
        <v>4.23123</v>
      </c>
    </row>
    <row r="1803" spans="1:6">
      <c r="A1803" s="1" t="inlineStr">
        <is>
          <t>PARP</t>
        </is>
      </c>
      <c r="B1803" s="3">
        <v>43556</v>
      </c>
      <c r="C1803" s="1">
        <v>56449.54</v>
      </c>
      <c r="D1803" s="1">
        <v>5.38239</v>
      </c>
      <c r="E1803" s="1">
        <v>0</v>
      </c>
      <c r="F1803" s="1">
        <v>5.38239</v>
      </c>
    </row>
    <row r="1804" spans="1:6">
      <c r="A1804" s="1" t="inlineStr">
        <is>
          <t>PARP</t>
        </is>
      </c>
      <c r="B1804" s="3">
        <v>43738</v>
      </c>
      <c r="C1804" s="1">
        <v>56449.54</v>
      </c>
      <c r="D1804" s="1">
        <v>9.79518</v>
      </c>
      <c r="E1804" s="1">
        <v>0</v>
      </c>
      <c r="F1804" s="1">
        <v>9.79518</v>
      </c>
    </row>
    <row r="1805" spans="1:6">
      <c r="A1805" s="1" t="inlineStr">
        <is>
          <t>PARP</t>
        </is>
      </c>
      <c r="B1805" s="3">
        <v>43922</v>
      </c>
      <c r="C1805" s="1">
        <v>56449.54</v>
      </c>
      <c r="D1805" s="1">
        <v>12.29512</v>
      </c>
      <c r="E1805" s="1">
        <v>0</v>
      </c>
      <c r="F1805" s="1">
        <v>12.29512</v>
      </c>
    </row>
    <row r="1806" spans="1:6">
      <c r="A1806" s="1" t="inlineStr">
        <is>
          <t>PARP</t>
        </is>
      </c>
      <c r="B1806" s="3">
        <v>44104</v>
      </c>
      <c r="C1806" s="1">
        <v>56449.54</v>
      </c>
      <c r="D1806" s="1">
        <v>13.93344</v>
      </c>
      <c r="E1806" s="1">
        <v>0</v>
      </c>
      <c r="F1806" s="1">
        <v>13.93344</v>
      </c>
    </row>
    <row r="1807" spans="1:6">
      <c r="A1807" s="1" t="inlineStr">
        <is>
          <t>PARP</t>
        </is>
      </c>
      <c r="B1807" s="3">
        <v>44286</v>
      </c>
      <c r="C1807" s="1">
        <v>56449.54</v>
      </c>
      <c r="D1807" s="1">
        <v>17.04802</v>
      </c>
      <c r="E1807" s="1">
        <v>0</v>
      </c>
      <c r="F1807" s="1">
        <v>17.04802</v>
      </c>
    </row>
    <row r="1808" spans="1:6">
      <c r="A1808" s="1" t="inlineStr">
        <is>
          <t>PARP</t>
        </is>
      </c>
      <c r="B1808" s="3">
        <v>44469</v>
      </c>
      <c r="C1808" s="1">
        <v>56449.54</v>
      </c>
      <c r="D1808" s="1">
        <v>21.15079</v>
      </c>
      <c r="E1808" s="1">
        <v>0</v>
      </c>
      <c r="F1808" s="1">
        <v>21.15079</v>
      </c>
    </row>
    <row r="1809" spans="1:6">
      <c r="A1809" s="1" t="inlineStr">
        <is>
          <t>PARP</t>
        </is>
      </c>
      <c r="B1809" s="3">
        <v>44651</v>
      </c>
      <c r="C1809" s="1">
        <v>56449.54</v>
      </c>
      <c r="D1809" s="1">
        <v>25.68942</v>
      </c>
      <c r="E1809" s="1">
        <v>0</v>
      </c>
      <c r="F1809" s="1">
        <v>25.68942</v>
      </c>
    </row>
    <row r="1810" spans="1:6">
      <c r="A1810" s="1" t="inlineStr">
        <is>
          <t>PARP</t>
        </is>
      </c>
      <c r="B1810" s="3">
        <v>44834</v>
      </c>
      <c r="C1810" s="1">
        <v>56449.54</v>
      </c>
      <c r="D1810" s="1">
        <v>36.18614</v>
      </c>
      <c r="E1810" s="1">
        <v>0</v>
      </c>
      <c r="F1810" s="1">
        <v>36.18614</v>
      </c>
    </row>
    <row r="1811" spans="1:6">
      <c r="A1811" s="1" t="inlineStr">
        <is>
          <t>PARP</t>
        </is>
      </c>
      <c r="B1811" s="3">
        <v>45016</v>
      </c>
      <c r="C1811" s="1">
        <v>56449.54</v>
      </c>
      <c r="D1811" s="1">
        <v>51.07202</v>
      </c>
      <c r="E1811" s="1">
        <v>0</v>
      </c>
      <c r="F1811" s="1">
        <v>51.07202</v>
      </c>
    </row>
    <row r="1812" spans="1:6">
      <c r="A1812" s="1" t="inlineStr">
        <is>
          <t>PARP</t>
        </is>
      </c>
      <c r="B1812" s="3">
        <v>45201</v>
      </c>
      <c r="C1812" s="1">
        <v>56449.54</v>
      </c>
      <c r="D1812" s="1">
        <v>77.95159</v>
      </c>
      <c r="E1812" s="1">
        <v>0</v>
      </c>
      <c r="F1812" s="1">
        <v>77.95159</v>
      </c>
    </row>
    <row r="1813" spans="1:6">
      <c r="A1813" s="1" t="inlineStr">
        <is>
          <t>PARP</t>
        </is>
      </c>
      <c r="B1813" s="3">
        <v>45385</v>
      </c>
      <c r="C1813" s="1">
        <v>56449.54</v>
      </c>
      <c r="D1813" s="1">
        <v>179.29241</v>
      </c>
      <c r="E1813" s="1">
        <v>0</v>
      </c>
      <c r="F1813" s="1">
        <v>179.29241</v>
      </c>
    </row>
    <row r="1814" spans="1:6">
      <c r="A1814" s="1" t="inlineStr">
        <is>
          <t>PARP</t>
        </is>
      </c>
      <c r="B1814" s="3">
        <v>45565</v>
      </c>
      <c r="C1814" s="1">
        <v>56449.54</v>
      </c>
      <c r="D1814" s="1">
        <v>280.02293</v>
      </c>
      <c r="E1814" s="1">
        <v>0</v>
      </c>
      <c r="F1814" s="1">
        <v>280.02292</v>
      </c>
    </row>
    <row r="1815" spans="1:6">
      <c r="A1815" s="1" t="inlineStr">
        <is>
          <t>PARP</t>
        </is>
      </c>
      <c r="B1815" s="3">
        <v>45747</v>
      </c>
      <c r="C1815" s="1">
        <v>56449.54</v>
      </c>
      <c r="D1815" s="1">
        <v>332.62919</v>
      </c>
      <c r="E1815" s="1">
        <v>0</v>
      </c>
      <c r="F1815" s="1">
        <v>332.62919</v>
      </c>
    </row>
    <row r="1816" spans="1:6">
      <c r="A1816" s="1" t="inlineStr">
        <is>
          <t>PARP</t>
        </is>
      </c>
      <c r="B1816" s="3">
        <v>45930</v>
      </c>
      <c r="C1816" s="1">
        <v>56449.54</v>
      </c>
      <c r="D1816" s="1">
        <v>382.09919</v>
      </c>
      <c r="E1816" s="1">
        <v>0</v>
      </c>
      <c r="F1816" s="1">
        <v>382.09919</v>
      </c>
    </row>
    <row r="1817" spans="1:6">
      <c r="A1817" s="1" t="inlineStr">
        <is>
          <t>PARP</t>
        </is>
      </c>
      <c r="B1817" s="3">
        <v>46112</v>
      </c>
      <c r="C1817" s="1">
        <v>56449.54</v>
      </c>
      <c r="D1817" s="1">
        <v>439.76915</v>
      </c>
      <c r="E1817" s="1">
        <v>0</v>
      </c>
      <c r="F1817" s="1">
        <v>439.76915</v>
      </c>
    </row>
    <row r="1818" spans="1:6">
      <c r="A1818" s="1" t="inlineStr">
        <is>
          <t>PARP</t>
        </is>
      </c>
      <c r="B1818" s="3">
        <v>46295</v>
      </c>
      <c r="C1818" s="1">
        <v>56449.54</v>
      </c>
      <c r="D1818" s="1">
        <v>499.57842</v>
      </c>
      <c r="E1818" s="1">
        <v>0</v>
      </c>
      <c r="F1818" s="1">
        <v>499.57842</v>
      </c>
    </row>
    <row r="1819" spans="1:6">
      <c r="A1819" s="1" t="inlineStr">
        <is>
          <t>PARP</t>
        </is>
      </c>
      <c r="B1819" s="3">
        <v>46477</v>
      </c>
      <c r="C1819" s="1">
        <v>56449.54</v>
      </c>
      <c r="D1819" s="1">
        <v>499.57842</v>
      </c>
      <c r="E1819" s="1">
        <v>0</v>
      </c>
      <c r="F1819" s="1">
        <v>499.57842</v>
      </c>
    </row>
    <row r="1820" spans="1:6">
      <c r="A1820" s="1" t="inlineStr">
        <is>
          <t>PARP</t>
        </is>
      </c>
      <c r="B1820" s="3">
        <v>46660</v>
      </c>
      <c r="C1820" s="1">
        <v>56449.54</v>
      </c>
      <c r="D1820" s="1">
        <v>499.57842</v>
      </c>
      <c r="E1820" s="1">
        <v>0</v>
      </c>
      <c r="F1820" s="1">
        <v>499.57842</v>
      </c>
    </row>
    <row r="1821" spans="1:6">
      <c r="A1821" s="1" t="inlineStr">
        <is>
          <t>PARP</t>
        </is>
      </c>
      <c r="B1821" s="3">
        <v>46843</v>
      </c>
      <c r="C1821" s="1">
        <v>56449.54</v>
      </c>
      <c r="D1821" s="1">
        <v>499.57842</v>
      </c>
      <c r="E1821" s="1">
        <v>0</v>
      </c>
      <c r="F1821" s="1">
        <v>499.57842</v>
      </c>
    </row>
    <row r="1822" spans="1:6">
      <c r="A1822" s="1" t="inlineStr">
        <is>
          <t>PARP</t>
        </is>
      </c>
      <c r="B1822" s="3">
        <v>47028</v>
      </c>
      <c r="C1822" s="1">
        <v>56449.54</v>
      </c>
      <c r="D1822" s="1">
        <v>499.57842</v>
      </c>
      <c r="E1822" s="1">
        <v>0</v>
      </c>
      <c r="F1822" s="1">
        <v>499.57842</v>
      </c>
    </row>
    <row r="1823" spans="1:6">
      <c r="A1823" s="1" t="inlineStr">
        <is>
          <t>PARP</t>
        </is>
      </c>
      <c r="B1823" s="3">
        <v>47211</v>
      </c>
      <c r="C1823" s="1">
        <v>56449.54</v>
      </c>
      <c r="D1823" s="1">
        <v>499.57842</v>
      </c>
      <c r="E1823" s="1">
        <v>0</v>
      </c>
      <c r="F1823" s="1">
        <v>499.57842</v>
      </c>
    </row>
    <row r="1824" spans="1:6">
      <c r="A1824" s="1" t="inlineStr">
        <is>
          <t>PARP</t>
        </is>
      </c>
      <c r="B1824" s="3">
        <v>47392</v>
      </c>
      <c r="C1824" s="1">
        <v>56449.54</v>
      </c>
      <c r="D1824" s="1">
        <v>699.97429</v>
      </c>
      <c r="E1824" s="1">
        <v>2822.477</v>
      </c>
      <c r="F1824" s="1">
        <v>3522.45129</v>
      </c>
    </row>
    <row r="1825" spans="1:6">
      <c r="A1825" s="1" t="inlineStr">
        <is>
          <t>PARP</t>
        </is>
      </c>
      <c r="B1825" s="3">
        <v>47574</v>
      </c>
      <c r="C1825" s="1">
        <v>53627.063</v>
      </c>
      <c r="D1825" s="1">
        <v>664.97558</v>
      </c>
      <c r="E1825" s="1">
        <v>2822.477</v>
      </c>
      <c r="F1825" s="1">
        <v>3487.45258</v>
      </c>
    </row>
    <row r="1826" spans="1:6">
      <c r="A1826" s="1" t="inlineStr">
        <is>
          <t>PARP</t>
        </is>
      </c>
      <c r="B1826" s="3">
        <v>47756</v>
      </c>
      <c r="C1826" s="1">
        <v>50804.586</v>
      </c>
      <c r="D1826" s="1">
        <v>629.97686</v>
      </c>
      <c r="E1826" s="1">
        <v>2822.477</v>
      </c>
      <c r="F1826" s="1">
        <v>3452.45385</v>
      </c>
    </row>
    <row r="1827" spans="1:6">
      <c r="A1827" s="1" t="inlineStr">
        <is>
          <t>PARP</t>
        </is>
      </c>
      <c r="B1827" s="3">
        <v>47938</v>
      </c>
      <c r="C1827" s="1">
        <v>47982.109</v>
      </c>
      <c r="D1827" s="1">
        <v>594.97815</v>
      </c>
      <c r="E1827" s="1">
        <v>2822.477</v>
      </c>
      <c r="F1827" s="1">
        <v>3417.45515</v>
      </c>
    </row>
    <row r="1828" spans="1:6">
      <c r="A1828" s="1" t="inlineStr">
        <is>
          <t>PARP</t>
        </is>
      </c>
      <c r="B1828" s="3">
        <v>48121</v>
      </c>
      <c r="C1828" s="1">
        <v>45159.632</v>
      </c>
      <c r="D1828" s="1">
        <v>559.97943</v>
      </c>
      <c r="E1828" s="1">
        <v>2822.477</v>
      </c>
      <c r="F1828" s="1">
        <v>3382.45643</v>
      </c>
    </row>
    <row r="1829" spans="1:6">
      <c r="A1829" s="1" t="inlineStr">
        <is>
          <t>PARP</t>
        </is>
      </c>
      <c r="B1829" s="3">
        <v>48304</v>
      </c>
      <c r="C1829" s="1">
        <v>42337.155</v>
      </c>
      <c r="D1829" s="1">
        <v>524.98072</v>
      </c>
      <c r="E1829" s="1">
        <v>2822.477</v>
      </c>
      <c r="F1829" s="1">
        <v>3347.45772</v>
      </c>
    </row>
    <row r="1830" spans="1:6">
      <c r="A1830" s="1" t="inlineStr">
        <is>
          <t>PARP</t>
        </is>
      </c>
      <c r="B1830" s="3">
        <v>48487</v>
      </c>
      <c r="C1830" s="1">
        <v>39514.678</v>
      </c>
      <c r="D1830" s="1">
        <v>489.982</v>
      </c>
      <c r="E1830" s="1">
        <v>2822.477</v>
      </c>
      <c r="F1830" s="1">
        <v>3312.459</v>
      </c>
    </row>
    <row r="1831" spans="1:6">
      <c r="A1831" s="1" t="inlineStr">
        <is>
          <t>PARP</t>
        </is>
      </c>
      <c r="B1831" s="3">
        <v>48669</v>
      </c>
      <c r="C1831" s="1">
        <v>36692.201</v>
      </c>
      <c r="D1831" s="1">
        <v>454.98329</v>
      </c>
      <c r="E1831" s="1">
        <v>2822.477</v>
      </c>
      <c r="F1831" s="1">
        <v>3277.46029</v>
      </c>
    </row>
    <row r="1832" spans="1:6">
      <c r="A1832" s="1" t="inlineStr">
        <is>
          <t>PARP</t>
        </is>
      </c>
      <c r="B1832" s="3">
        <v>48852</v>
      </c>
      <c r="C1832" s="1">
        <v>33869.724</v>
      </c>
      <c r="D1832" s="1">
        <v>419.98457</v>
      </c>
      <c r="E1832" s="1">
        <v>2822.477</v>
      </c>
      <c r="F1832" s="1">
        <v>3242.46157</v>
      </c>
    </row>
    <row r="1833" spans="1:6">
      <c r="A1833" s="1" t="inlineStr">
        <is>
          <t>PARP</t>
        </is>
      </c>
      <c r="B1833" s="3">
        <v>49034</v>
      </c>
      <c r="C1833" s="1">
        <v>31047.247</v>
      </c>
      <c r="D1833" s="1">
        <v>384.98586</v>
      </c>
      <c r="E1833" s="1">
        <v>2822.477</v>
      </c>
      <c r="F1833" s="1">
        <v>3207.46285</v>
      </c>
    </row>
    <row r="1834" spans="1:6">
      <c r="A1834" s="1" t="inlineStr">
        <is>
          <t>PARP</t>
        </is>
      </c>
      <c r="B1834" s="3">
        <v>49219</v>
      </c>
      <c r="C1834" s="1">
        <v>28224.77</v>
      </c>
      <c r="D1834" s="1">
        <v>349.98714</v>
      </c>
      <c r="E1834" s="1">
        <v>2822.477</v>
      </c>
      <c r="F1834" s="1">
        <v>3172.46414</v>
      </c>
    </row>
    <row r="1835" spans="1:6">
      <c r="A1835" s="1" t="inlineStr">
        <is>
          <t>PARP</t>
        </is>
      </c>
      <c r="B1835" s="3">
        <v>49402</v>
      </c>
      <c r="C1835" s="1">
        <v>25402.293</v>
      </c>
      <c r="D1835" s="1">
        <v>314.98843</v>
      </c>
      <c r="E1835" s="1">
        <v>2822.477</v>
      </c>
      <c r="F1835" s="1">
        <v>3137.46543</v>
      </c>
    </row>
    <row r="1836" spans="1:6">
      <c r="A1836" s="1" t="inlineStr">
        <is>
          <t>PARP</t>
        </is>
      </c>
      <c r="B1836" s="3">
        <v>49583</v>
      </c>
      <c r="C1836" s="1">
        <v>22579.816</v>
      </c>
      <c r="D1836" s="1">
        <v>279.98971</v>
      </c>
      <c r="E1836" s="1">
        <v>2822.477</v>
      </c>
      <c r="F1836" s="1">
        <v>3102.4667</v>
      </c>
    </row>
    <row r="1837" spans="1:6">
      <c r="A1837" s="1" t="inlineStr">
        <is>
          <t>PARP</t>
        </is>
      </c>
      <c r="B1837" s="3">
        <v>49765</v>
      </c>
      <c r="C1837" s="1">
        <v>19757.339</v>
      </c>
      <c r="D1837" s="1">
        <v>244.991</v>
      </c>
      <c r="E1837" s="1">
        <v>2822.477</v>
      </c>
      <c r="F1837" s="1">
        <v>3067.468</v>
      </c>
    </row>
    <row r="1838" spans="1:6">
      <c r="A1838" s="1" t="inlineStr">
        <is>
          <t>PARP</t>
        </is>
      </c>
      <c r="B1838" s="3">
        <v>49948</v>
      </c>
      <c r="C1838" s="1">
        <v>16934.862</v>
      </c>
      <c r="D1838" s="1">
        <v>209.99228</v>
      </c>
      <c r="E1838" s="1">
        <v>2822.477</v>
      </c>
      <c r="F1838" s="1">
        <v>3032.46928</v>
      </c>
    </row>
    <row r="1839" spans="1:6">
      <c r="A1839" s="1" t="inlineStr">
        <is>
          <t>PARP</t>
        </is>
      </c>
      <c r="B1839" s="3">
        <v>50130</v>
      </c>
      <c r="C1839" s="1">
        <v>14112.385</v>
      </c>
      <c r="D1839" s="1">
        <v>174.99357</v>
      </c>
      <c r="E1839" s="1">
        <v>2822.477</v>
      </c>
      <c r="F1839" s="1">
        <v>2997.47057</v>
      </c>
    </row>
    <row r="1840" spans="1:6">
      <c r="A1840" s="1" t="inlineStr">
        <is>
          <t>PARP</t>
        </is>
      </c>
      <c r="B1840" s="3">
        <v>50313</v>
      </c>
      <c r="C1840" s="1">
        <v>11289.908</v>
      </c>
      <c r="D1840" s="1">
        <v>139.99485</v>
      </c>
      <c r="E1840" s="1">
        <v>2822.477</v>
      </c>
      <c r="F1840" s="1">
        <v>2962.47185</v>
      </c>
    </row>
    <row r="1841" spans="1:6">
      <c r="A1841" s="1" t="inlineStr">
        <is>
          <t>PARP</t>
        </is>
      </c>
      <c r="B1841" s="3">
        <v>50495</v>
      </c>
      <c r="C1841" s="1">
        <v>8467.431</v>
      </c>
      <c r="D1841" s="1">
        <v>104.99614</v>
      </c>
      <c r="E1841" s="1">
        <v>2822.477</v>
      </c>
      <c r="F1841" s="1">
        <v>2927.47314</v>
      </c>
    </row>
    <row r="1842" spans="1:6">
      <c r="A1842" s="1" t="inlineStr">
        <is>
          <t>PARP</t>
        </is>
      </c>
      <c r="B1842" s="3">
        <v>50678</v>
      </c>
      <c r="C1842" s="1">
        <v>5644.954</v>
      </c>
      <c r="D1842" s="1">
        <v>69.99742</v>
      </c>
      <c r="E1842" s="1">
        <v>2822.477</v>
      </c>
      <c r="F1842" s="1">
        <v>2892.47442</v>
      </c>
    </row>
    <row r="1843" spans="1:6">
      <c r="A1843" s="1" t="inlineStr">
        <is>
          <t>PARP</t>
        </is>
      </c>
      <c r="B1843" s="3">
        <v>50770</v>
      </c>
      <c r="C1843" s="1">
        <v>2822.477</v>
      </c>
      <c r="D1843" s="1">
        <v>17.49935</v>
      </c>
      <c r="E1843" s="1">
        <v>2822.477</v>
      </c>
      <c r="F1843" s="1">
        <v>2839.97635</v>
      </c>
    </row>
    <row r="1844" spans="1:6">
      <c r="A1844" s="1" t="inlineStr">
        <is>
          <t>CUAP</t>
        </is>
      </c>
      <c r="B1844" s="3">
        <v>38168</v>
      </c>
      <c r="C1844" s="1">
        <v>78385.357</v>
      </c>
      <c r="D1844" s="1">
        <v>0</v>
      </c>
      <c r="E1844" s="1">
        <v>0</v>
      </c>
      <c r="F1844" s="1">
        <v>0</v>
      </c>
    </row>
    <row r="1845" spans="1:6">
      <c r="A1845" s="1" t="inlineStr">
        <is>
          <t>CUAP</t>
        </is>
      </c>
      <c r="B1845" s="3">
        <v>38352</v>
      </c>
      <c r="C1845" s="1">
        <v>78385.357</v>
      </c>
      <c r="D1845" s="1">
        <v>0</v>
      </c>
      <c r="E1845" s="1">
        <v>0</v>
      </c>
      <c r="F1845" s="1">
        <v>0</v>
      </c>
    </row>
    <row r="1846" spans="1:6">
      <c r="A1846" s="1" t="inlineStr">
        <is>
          <t>CUAP</t>
        </is>
      </c>
      <c r="B1846" s="3">
        <v>38533</v>
      </c>
      <c r="C1846" s="1">
        <v>78385.357</v>
      </c>
      <c r="D1846" s="1">
        <v>0</v>
      </c>
      <c r="E1846" s="1">
        <v>0</v>
      </c>
      <c r="F1846" s="1">
        <v>0</v>
      </c>
    </row>
    <row r="1847" spans="1:6">
      <c r="A1847" s="1" t="inlineStr">
        <is>
          <t>CUAP</t>
        </is>
      </c>
      <c r="B1847" s="3">
        <v>38719</v>
      </c>
      <c r="C1847" s="1">
        <v>78385.357</v>
      </c>
      <c r="D1847" s="1">
        <v>0</v>
      </c>
      <c r="E1847" s="1">
        <v>0</v>
      </c>
      <c r="F1847" s="1">
        <v>0</v>
      </c>
    </row>
    <row r="1848" spans="1:6">
      <c r="A1848" s="1" t="inlineStr">
        <is>
          <t>CUAP</t>
        </is>
      </c>
      <c r="B1848" s="3">
        <v>38898</v>
      </c>
      <c r="C1848" s="1">
        <v>78385.357</v>
      </c>
      <c r="D1848" s="1">
        <v>0</v>
      </c>
      <c r="E1848" s="1">
        <v>0</v>
      </c>
      <c r="F1848" s="1">
        <v>0</v>
      </c>
    </row>
    <row r="1849" spans="1:6">
      <c r="A1849" s="1" t="inlineStr">
        <is>
          <t>CUAP</t>
        </is>
      </c>
      <c r="B1849" s="3">
        <v>39084</v>
      </c>
      <c r="C1849" s="1">
        <v>78385.357</v>
      </c>
      <c r="D1849" s="1">
        <v>0</v>
      </c>
      <c r="E1849" s="1">
        <v>0</v>
      </c>
      <c r="F1849" s="1">
        <v>0</v>
      </c>
    </row>
    <row r="1850" spans="1:6">
      <c r="A1850" s="1" t="inlineStr">
        <is>
          <t>CUAP</t>
        </is>
      </c>
      <c r="B1850" s="3">
        <v>39265</v>
      </c>
      <c r="C1850" s="1">
        <v>78385.357</v>
      </c>
      <c r="D1850" s="1">
        <v>0</v>
      </c>
      <c r="E1850" s="1">
        <v>0</v>
      </c>
      <c r="F1850" s="1">
        <v>0</v>
      </c>
    </row>
    <row r="1851" spans="1:6">
      <c r="A1851" s="1" t="inlineStr">
        <is>
          <t>CUAP</t>
        </is>
      </c>
      <c r="B1851" s="3">
        <v>39449</v>
      </c>
      <c r="C1851" s="1">
        <v>78385.357</v>
      </c>
      <c r="D1851" s="1">
        <v>0</v>
      </c>
      <c r="E1851" s="1">
        <v>0</v>
      </c>
      <c r="F1851" s="1">
        <v>0</v>
      </c>
    </row>
    <row r="1852" spans="1:6">
      <c r="A1852" s="1" t="inlineStr">
        <is>
          <t>CUAP</t>
        </is>
      </c>
      <c r="B1852" s="3">
        <v>39629</v>
      </c>
      <c r="C1852" s="1">
        <v>78385.357</v>
      </c>
      <c r="D1852" s="1">
        <v>0</v>
      </c>
      <c r="E1852" s="1">
        <v>0</v>
      </c>
      <c r="F1852" s="1">
        <v>0</v>
      </c>
    </row>
    <row r="1853" spans="1:6">
      <c r="A1853" s="1" t="inlineStr">
        <is>
          <t>CUAP</t>
        </is>
      </c>
      <c r="B1853" s="3">
        <v>39813</v>
      </c>
      <c r="C1853" s="1">
        <v>78385.357</v>
      </c>
      <c r="D1853" s="1">
        <v>0</v>
      </c>
      <c r="E1853" s="1">
        <v>0</v>
      </c>
      <c r="F1853" s="1">
        <v>0</v>
      </c>
    </row>
    <row r="1854" spans="1:6">
      <c r="A1854" s="1" t="inlineStr">
        <is>
          <t>CUAP</t>
        </is>
      </c>
      <c r="B1854" s="3">
        <v>39994</v>
      </c>
      <c r="C1854" s="1">
        <v>78385.357</v>
      </c>
      <c r="D1854" s="1">
        <v>0</v>
      </c>
      <c r="E1854" s="1">
        <v>0</v>
      </c>
      <c r="F1854" s="1">
        <v>0</v>
      </c>
    </row>
    <row r="1855" spans="1:6">
      <c r="A1855" s="1" t="inlineStr">
        <is>
          <t>CUAP</t>
        </is>
      </c>
      <c r="B1855" s="3">
        <v>40178</v>
      </c>
      <c r="C1855" s="1">
        <v>78385.357</v>
      </c>
      <c r="D1855" s="1">
        <v>0</v>
      </c>
      <c r="E1855" s="1">
        <v>0</v>
      </c>
      <c r="F1855" s="1">
        <v>0</v>
      </c>
    </row>
    <row r="1856" spans="1:6">
      <c r="A1856" s="1" t="inlineStr">
        <is>
          <t>CUAP</t>
        </is>
      </c>
      <c r="B1856" s="3">
        <v>40359</v>
      </c>
      <c r="C1856" s="1">
        <v>78385.357</v>
      </c>
      <c r="D1856" s="1">
        <v>0</v>
      </c>
      <c r="E1856" s="1">
        <v>0</v>
      </c>
      <c r="F1856" s="1">
        <v>0</v>
      </c>
    </row>
    <row r="1857" spans="1:6">
      <c r="A1857" s="1" t="inlineStr">
        <is>
          <t>CUAP</t>
        </is>
      </c>
      <c r="B1857" s="3">
        <v>40546</v>
      </c>
      <c r="C1857" s="1">
        <v>78385.357</v>
      </c>
      <c r="D1857" s="1">
        <v>0</v>
      </c>
      <c r="E1857" s="1">
        <v>0</v>
      </c>
      <c r="F1857" s="1">
        <v>0</v>
      </c>
    </row>
    <row r="1858" spans="1:6">
      <c r="A1858" s="1" t="inlineStr">
        <is>
          <t>CUAP</t>
        </is>
      </c>
      <c r="B1858" s="3">
        <v>40724</v>
      </c>
      <c r="C1858" s="1">
        <v>78385.357</v>
      </c>
      <c r="D1858" s="1">
        <v>0</v>
      </c>
      <c r="E1858" s="1">
        <v>0</v>
      </c>
      <c r="F1858" s="1">
        <v>0</v>
      </c>
    </row>
    <row r="1859" spans="1:6">
      <c r="A1859" s="1" t="inlineStr">
        <is>
          <t>CUAP</t>
        </is>
      </c>
      <c r="B1859" s="3">
        <v>40911</v>
      </c>
      <c r="C1859" s="1">
        <v>78385.357</v>
      </c>
      <c r="D1859" s="1">
        <v>0</v>
      </c>
      <c r="E1859" s="1">
        <v>0</v>
      </c>
      <c r="F1859" s="1">
        <v>0</v>
      </c>
    </row>
    <row r="1860" spans="1:6">
      <c r="A1860" s="1" t="inlineStr">
        <is>
          <t>CUAP</t>
        </is>
      </c>
      <c r="B1860" s="3">
        <v>41092</v>
      </c>
      <c r="C1860" s="1">
        <v>78385.357</v>
      </c>
      <c r="D1860" s="1">
        <v>0</v>
      </c>
      <c r="E1860" s="1">
        <v>0</v>
      </c>
      <c r="F1860" s="1">
        <v>0</v>
      </c>
    </row>
    <row r="1861" spans="1:6">
      <c r="A1861" s="1" t="inlineStr">
        <is>
          <t>CUAP</t>
        </is>
      </c>
      <c r="B1861" s="3">
        <v>41274</v>
      </c>
      <c r="C1861" s="1">
        <v>78385.357</v>
      </c>
      <c r="D1861" s="1">
        <v>0</v>
      </c>
      <c r="E1861" s="1">
        <v>0</v>
      </c>
      <c r="F1861" s="1">
        <v>0</v>
      </c>
    </row>
    <row r="1862" spans="1:6">
      <c r="A1862" s="1" t="inlineStr">
        <is>
          <t>CUAP</t>
        </is>
      </c>
      <c r="B1862" s="3">
        <v>41456</v>
      </c>
      <c r="C1862" s="1">
        <v>78385.357</v>
      </c>
      <c r="D1862" s="1">
        <v>0</v>
      </c>
      <c r="E1862" s="1">
        <v>0</v>
      </c>
      <c r="F1862" s="1">
        <v>0</v>
      </c>
    </row>
    <row r="1863" spans="1:6">
      <c r="A1863" s="1" t="inlineStr">
        <is>
          <t>CUAP</t>
        </is>
      </c>
      <c r="B1863" s="3">
        <v>41641</v>
      </c>
      <c r="C1863" s="1">
        <v>78385.357</v>
      </c>
      <c r="D1863" s="1">
        <v>0</v>
      </c>
      <c r="E1863" s="1">
        <v>0</v>
      </c>
      <c r="F1863" s="1">
        <v>0</v>
      </c>
    </row>
    <row r="1864" spans="1:6">
      <c r="A1864" s="1" t="inlineStr">
        <is>
          <t>CUAP</t>
        </is>
      </c>
      <c r="B1864" s="3">
        <v>41820</v>
      </c>
      <c r="C1864" s="1">
        <v>78385.357</v>
      </c>
      <c r="D1864" s="1">
        <v>6.34212</v>
      </c>
      <c r="E1864" s="1">
        <v>0</v>
      </c>
      <c r="F1864" s="1">
        <v>6.34212</v>
      </c>
    </row>
    <row r="1865" spans="1:6">
      <c r="A1865" s="1" t="inlineStr">
        <is>
          <t>CUAP</t>
        </is>
      </c>
      <c r="B1865" s="3">
        <v>42006</v>
      </c>
      <c r="C1865" s="1">
        <v>78385.357</v>
      </c>
      <c r="D1865" s="1">
        <v>6.87298</v>
      </c>
      <c r="E1865" s="1">
        <v>0</v>
      </c>
      <c r="F1865" s="1">
        <v>6.87298</v>
      </c>
    </row>
    <row r="1866" spans="1:6">
      <c r="A1866" s="1" t="inlineStr">
        <is>
          <t>CUAP</t>
        </is>
      </c>
      <c r="B1866" s="3">
        <v>42185</v>
      </c>
      <c r="C1866" s="1">
        <v>78385.357</v>
      </c>
      <c r="D1866" s="1">
        <v>7.3441</v>
      </c>
      <c r="E1866" s="1">
        <v>0</v>
      </c>
      <c r="F1866" s="1">
        <v>7.3441</v>
      </c>
    </row>
    <row r="1867" spans="1:6">
      <c r="A1867" s="1" t="inlineStr">
        <is>
          <t>CUAP</t>
        </is>
      </c>
      <c r="B1867" s="3">
        <v>42369</v>
      </c>
      <c r="C1867" s="1">
        <v>78385.357</v>
      </c>
      <c r="D1867" s="1">
        <v>7.87864</v>
      </c>
      <c r="E1867" s="1">
        <v>0</v>
      </c>
      <c r="F1867" s="1">
        <v>7.87864</v>
      </c>
    </row>
    <row r="1868" spans="1:6">
      <c r="A1868" s="1" t="inlineStr">
        <is>
          <t>CUAP</t>
        </is>
      </c>
      <c r="B1868" s="3">
        <v>42551</v>
      </c>
      <c r="C1868" s="1">
        <v>78385.357</v>
      </c>
      <c r="D1868" s="1">
        <v>9.44734</v>
      </c>
      <c r="E1868" s="1">
        <v>0</v>
      </c>
      <c r="F1868" s="1">
        <v>9.44734</v>
      </c>
    </row>
    <row r="1869" spans="1:6">
      <c r="A1869" s="1" t="inlineStr">
        <is>
          <t>CUAP</t>
        </is>
      </c>
      <c r="B1869" s="3">
        <v>42737</v>
      </c>
      <c r="C1869" s="1">
        <v>78385.357</v>
      </c>
      <c r="D1869" s="1">
        <v>10.73382</v>
      </c>
      <c r="E1869" s="1">
        <v>0</v>
      </c>
      <c r="F1869" s="1">
        <v>10.73382</v>
      </c>
    </row>
    <row r="1870" spans="1:6">
      <c r="A1870" s="1" t="inlineStr">
        <is>
          <t>CUAP</t>
        </is>
      </c>
      <c r="B1870" s="3">
        <v>42916</v>
      </c>
      <c r="C1870" s="1">
        <v>78385.357</v>
      </c>
      <c r="D1870" s="1">
        <v>12.01319</v>
      </c>
      <c r="E1870" s="1">
        <v>0</v>
      </c>
      <c r="F1870" s="1">
        <v>12.01319</v>
      </c>
    </row>
    <row r="1871" spans="1:6">
      <c r="A1871" s="1" t="inlineStr">
        <is>
          <t>CUAP</t>
        </is>
      </c>
      <c r="B1871" s="3">
        <v>43102</v>
      </c>
      <c r="C1871" s="1">
        <v>78385.357</v>
      </c>
      <c r="D1871" s="1">
        <v>13.14478</v>
      </c>
      <c r="E1871" s="1">
        <v>0</v>
      </c>
      <c r="F1871" s="1">
        <v>13.14478</v>
      </c>
    </row>
    <row r="1872" spans="1:6">
      <c r="A1872" s="1" t="inlineStr">
        <is>
          <t>CUAP</t>
        </is>
      </c>
      <c r="B1872" s="3">
        <v>43283</v>
      </c>
      <c r="C1872" s="1">
        <v>78385.357</v>
      </c>
      <c r="D1872" s="1">
        <v>15.0598</v>
      </c>
      <c r="E1872" s="1">
        <v>0</v>
      </c>
      <c r="F1872" s="1">
        <v>15.0598</v>
      </c>
    </row>
    <row r="1873" spans="1:6">
      <c r="A1873" s="1" t="inlineStr">
        <is>
          <t>CUAP</t>
        </is>
      </c>
      <c r="B1873" s="3">
        <v>43467</v>
      </c>
      <c r="C1873" s="1">
        <v>78385.357</v>
      </c>
      <c r="D1873" s="1">
        <v>19.10587</v>
      </c>
      <c r="E1873" s="1">
        <v>0</v>
      </c>
      <c r="F1873" s="1">
        <v>19.10587</v>
      </c>
    </row>
    <row r="1874" spans="1:6">
      <c r="A1874" s="1" t="inlineStr">
        <is>
          <t>CUAP</t>
        </is>
      </c>
      <c r="B1874" s="3">
        <v>43647</v>
      </c>
      <c r="C1874" s="1">
        <v>78385.357</v>
      </c>
      <c r="D1874" s="1">
        <v>23.42381</v>
      </c>
      <c r="E1874" s="1">
        <v>0</v>
      </c>
      <c r="F1874" s="1">
        <v>23.42381</v>
      </c>
    </row>
    <row r="1875" spans="1:6">
      <c r="A1875" s="1" t="inlineStr">
        <is>
          <t>CUAP</t>
        </is>
      </c>
      <c r="B1875" s="3">
        <v>43832</v>
      </c>
      <c r="C1875" s="1">
        <v>78385.357</v>
      </c>
      <c r="D1875" s="1">
        <v>28.83818</v>
      </c>
      <c r="E1875" s="1">
        <v>0</v>
      </c>
      <c r="F1875" s="1">
        <v>28.83818</v>
      </c>
    </row>
    <row r="1876" spans="1:6">
      <c r="A1876" s="1" t="inlineStr">
        <is>
          <t>CUAP</t>
        </is>
      </c>
      <c r="B1876" s="3">
        <v>44012</v>
      </c>
      <c r="C1876" s="1">
        <v>78385.357</v>
      </c>
      <c r="D1876" s="1">
        <v>34.21577</v>
      </c>
      <c r="E1876" s="1">
        <v>0</v>
      </c>
      <c r="F1876" s="1">
        <v>34.21577</v>
      </c>
    </row>
    <row r="1877" spans="1:6">
      <c r="A1877" s="1" t="inlineStr">
        <is>
          <t>CUAP</t>
        </is>
      </c>
      <c r="B1877" s="3">
        <v>44200</v>
      </c>
      <c r="C1877" s="1">
        <v>78385.357</v>
      </c>
      <c r="D1877" s="1">
        <v>39.61521</v>
      </c>
      <c r="E1877" s="1">
        <v>0</v>
      </c>
      <c r="F1877" s="1">
        <v>39.61521</v>
      </c>
    </row>
    <row r="1878" spans="1:6">
      <c r="A1878" s="1" t="inlineStr">
        <is>
          <t>CUAP</t>
        </is>
      </c>
      <c r="B1878" s="3">
        <v>44377</v>
      </c>
      <c r="C1878" s="1">
        <v>78385.357</v>
      </c>
      <c r="D1878" s="1">
        <v>49.97811</v>
      </c>
      <c r="E1878" s="1">
        <v>0</v>
      </c>
      <c r="F1878" s="1">
        <v>49.97811</v>
      </c>
    </row>
    <row r="1879" spans="1:6">
      <c r="A1879" s="1" t="inlineStr">
        <is>
          <t>CUAP</t>
        </is>
      </c>
      <c r="B1879" s="3">
        <v>44564</v>
      </c>
      <c r="C1879" s="1">
        <v>78385.357</v>
      </c>
      <c r="D1879" s="1">
        <v>60.30425</v>
      </c>
      <c r="E1879" s="1">
        <v>0</v>
      </c>
      <c r="F1879" s="1">
        <v>60.30425</v>
      </c>
    </row>
    <row r="1880" spans="1:6">
      <c r="A1880" s="1" t="inlineStr">
        <is>
          <t>CUAP</t>
        </is>
      </c>
      <c r="B1880" s="3">
        <v>44742</v>
      </c>
      <c r="C1880" s="1">
        <v>78385.357</v>
      </c>
      <c r="D1880" s="1">
        <v>78.73011</v>
      </c>
      <c r="E1880" s="1">
        <v>0</v>
      </c>
      <c r="F1880" s="1">
        <v>78.73011</v>
      </c>
    </row>
    <row r="1881" spans="1:6">
      <c r="A1881" s="1" t="inlineStr">
        <is>
          <t>CUAP</t>
        </is>
      </c>
      <c r="B1881" s="3">
        <v>44928</v>
      </c>
      <c r="C1881" s="1">
        <v>78385.357</v>
      </c>
      <c r="D1881" s="1">
        <v>113.94993</v>
      </c>
      <c r="E1881" s="1">
        <v>0</v>
      </c>
      <c r="F1881" s="1">
        <v>113.94993</v>
      </c>
    </row>
    <row r="1882" spans="1:6">
      <c r="A1882" s="1" t="inlineStr">
        <is>
          <t>CUAP</t>
        </is>
      </c>
      <c r="B1882" s="3">
        <v>45107</v>
      </c>
      <c r="C1882" s="1">
        <v>78385.357</v>
      </c>
      <c r="D1882" s="1">
        <v>164.28173</v>
      </c>
      <c r="E1882" s="1">
        <v>0</v>
      </c>
      <c r="F1882" s="1">
        <v>164.28173</v>
      </c>
    </row>
    <row r="1883" spans="1:6">
      <c r="A1883" s="1" t="inlineStr">
        <is>
          <t>CUAP</t>
        </is>
      </c>
      <c r="B1883" s="3">
        <v>45293</v>
      </c>
      <c r="C1883" s="1">
        <v>78385.357</v>
      </c>
      <c r="D1883" s="1">
        <v>274.47079</v>
      </c>
      <c r="E1883" s="1">
        <v>0</v>
      </c>
      <c r="F1883" s="1">
        <v>274.47079</v>
      </c>
    </row>
    <row r="1884" spans="1:6">
      <c r="A1884" s="1" t="inlineStr">
        <is>
          <t>CUAP</t>
        </is>
      </c>
      <c r="B1884" s="3">
        <v>45474</v>
      </c>
      <c r="C1884" s="1">
        <v>78385.357</v>
      </c>
      <c r="D1884" s="1">
        <v>635.40393</v>
      </c>
      <c r="E1884" s="1">
        <v>0</v>
      </c>
      <c r="F1884" s="1">
        <v>635.40393</v>
      </c>
    </row>
    <row r="1885" spans="1:6">
      <c r="A1885" s="1" t="inlineStr">
        <is>
          <t>CUAP</t>
        </is>
      </c>
      <c r="B1885" s="3">
        <v>45659</v>
      </c>
      <c r="C1885" s="1">
        <v>78385.357</v>
      </c>
      <c r="D1885" s="1">
        <v>802.85017</v>
      </c>
      <c r="E1885" s="1">
        <v>0</v>
      </c>
      <c r="F1885" s="1">
        <v>802.85017</v>
      </c>
    </row>
    <row r="1886" spans="1:6">
      <c r="A1886" s="1" t="inlineStr">
        <is>
          <t>CUAP</t>
        </is>
      </c>
      <c r="B1886" s="3">
        <v>45838</v>
      </c>
      <c r="C1886" s="1">
        <v>78385.357</v>
      </c>
      <c r="D1886" s="1">
        <v>941.10547</v>
      </c>
      <c r="E1886" s="1">
        <v>0</v>
      </c>
      <c r="F1886" s="1">
        <v>941.10547</v>
      </c>
    </row>
    <row r="1887" spans="1:6">
      <c r="A1887" s="1" t="inlineStr">
        <is>
          <t>CUAP</t>
        </is>
      </c>
      <c r="B1887" s="3">
        <v>46024</v>
      </c>
      <c r="C1887" s="1">
        <v>78385.357</v>
      </c>
      <c r="D1887" s="1">
        <v>1055.37898</v>
      </c>
      <c r="E1887" s="1">
        <v>0</v>
      </c>
      <c r="F1887" s="1">
        <v>1055.37898</v>
      </c>
    </row>
    <row r="1888" spans="1:6">
      <c r="A1888" s="1" t="inlineStr">
        <is>
          <t>CUAP</t>
        </is>
      </c>
      <c r="B1888" s="3">
        <v>46203</v>
      </c>
      <c r="C1888" s="1">
        <v>78385.357</v>
      </c>
      <c r="D1888" s="1">
        <v>1250.04299</v>
      </c>
      <c r="E1888" s="1">
        <v>0</v>
      </c>
      <c r="F1888" s="1">
        <v>1250.04299</v>
      </c>
    </row>
    <row r="1889" spans="1:6">
      <c r="A1889" s="1" t="inlineStr">
        <is>
          <t>CUAP</t>
        </is>
      </c>
      <c r="B1889" s="3">
        <v>46391</v>
      </c>
      <c r="C1889" s="1">
        <v>78385.357</v>
      </c>
      <c r="D1889" s="1">
        <v>1297.2776</v>
      </c>
      <c r="E1889" s="1">
        <v>0</v>
      </c>
      <c r="F1889" s="1">
        <v>1297.2776</v>
      </c>
    </row>
    <row r="1890" spans="1:6">
      <c r="A1890" s="1" t="inlineStr">
        <is>
          <t>CUAP</t>
        </is>
      </c>
      <c r="B1890" s="3">
        <v>46568</v>
      </c>
      <c r="C1890" s="1">
        <v>78385.357</v>
      </c>
      <c r="D1890" s="1">
        <v>1297.2776</v>
      </c>
      <c r="E1890" s="1">
        <v>0</v>
      </c>
      <c r="F1890" s="1">
        <v>1297.2776</v>
      </c>
    </row>
    <row r="1891" spans="1:6">
      <c r="A1891" s="1" t="inlineStr">
        <is>
          <t>CUAP</t>
        </is>
      </c>
      <c r="B1891" s="3">
        <v>46752</v>
      </c>
      <c r="C1891" s="1">
        <v>78385.357</v>
      </c>
      <c r="D1891" s="1">
        <v>1297.2776</v>
      </c>
      <c r="E1891" s="1">
        <v>0</v>
      </c>
      <c r="F1891" s="1">
        <v>1297.2776</v>
      </c>
    </row>
    <row r="1892" spans="1:6">
      <c r="A1892" s="1" t="inlineStr">
        <is>
          <t>CUAP</t>
        </is>
      </c>
      <c r="B1892" s="3">
        <v>46934</v>
      </c>
      <c r="C1892" s="1">
        <v>78385.357</v>
      </c>
      <c r="D1892" s="1">
        <v>1297.2776</v>
      </c>
      <c r="E1892" s="1">
        <v>0</v>
      </c>
      <c r="F1892" s="1">
        <v>1297.2776</v>
      </c>
    </row>
    <row r="1893" spans="1:6">
      <c r="A1893" s="1" t="inlineStr">
        <is>
          <t>CUAP</t>
        </is>
      </c>
      <c r="B1893" s="3">
        <v>47120</v>
      </c>
      <c r="C1893" s="1">
        <v>78385.357</v>
      </c>
      <c r="D1893" s="1">
        <v>1297.2776</v>
      </c>
      <c r="E1893" s="1">
        <v>0</v>
      </c>
      <c r="F1893" s="1">
        <v>1297.2776</v>
      </c>
    </row>
    <row r="1894" spans="1:6">
      <c r="A1894" s="1" t="inlineStr">
        <is>
          <t>CUAP</t>
        </is>
      </c>
      <c r="B1894" s="3">
        <v>47301</v>
      </c>
      <c r="C1894" s="1">
        <v>78385.357</v>
      </c>
      <c r="D1894" s="1">
        <v>1297.2776</v>
      </c>
      <c r="E1894" s="1">
        <v>0</v>
      </c>
      <c r="F1894" s="1">
        <v>1297.2776</v>
      </c>
    </row>
    <row r="1895" spans="1:6">
      <c r="A1895" s="1" t="inlineStr">
        <is>
          <t>CUAP</t>
        </is>
      </c>
      <c r="B1895" s="3">
        <v>47483</v>
      </c>
      <c r="C1895" s="1">
        <v>78385.357</v>
      </c>
      <c r="D1895" s="1">
        <v>1297.2776</v>
      </c>
      <c r="E1895" s="1">
        <v>0</v>
      </c>
      <c r="F1895" s="1">
        <v>1297.2776</v>
      </c>
    </row>
    <row r="1896" spans="1:6">
      <c r="A1896" s="1" t="inlineStr">
        <is>
          <t>CUAP</t>
        </is>
      </c>
      <c r="B1896" s="3">
        <v>47665</v>
      </c>
      <c r="C1896" s="1">
        <v>78385.357</v>
      </c>
      <c r="D1896" s="1">
        <v>1297.2776</v>
      </c>
      <c r="E1896" s="1">
        <v>0</v>
      </c>
      <c r="F1896" s="1">
        <v>1297.2776</v>
      </c>
    </row>
    <row r="1897" spans="1:6">
      <c r="A1897" s="1" t="inlineStr">
        <is>
          <t>CUAP</t>
        </is>
      </c>
      <c r="B1897" s="3">
        <v>47848</v>
      </c>
      <c r="C1897" s="1">
        <v>78385.357</v>
      </c>
      <c r="D1897" s="1">
        <v>1297.2776</v>
      </c>
      <c r="E1897" s="1">
        <v>0</v>
      </c>
      <c r="F1897" s="1">
        <v>1297.2776</v>
      </c>
    </row>
    <row r="1898" spans="1:6">
      <c r="A1898" s="1" t="inlineStr">
        <is>
          <t>CUAP</t>
        </is>
      </c>
      <c r="B1898" s="3">
        <v>48029</v>
      </c>
      <c r="C1898" s="1">
        <v>78385.357</v>
      </c>
      <c r="D1898" s="1">
        <v>1297.2776</v>
      </c>
      <c r="E1898" s="1">
        <v>0</v>
      </c>
      <c r="F1898" s="1">
        <v>1297.2776</v>
      </c>
    </row>
    <row r="1899" spans="1:6">
      <c r="A1899" s="1" t="inlineStr">
        <is>
          <t>CUAP</t>
        </is>
      </c>
      <c r="B1899" s="3">
        <v>48213</v>
      </c>
      <c r="C1899" s="1">
        <v>78385.357</v>
      </c>
      <c r="D1899" s="1">
        <v>1297.2776</v>
      </c>
      <c r="E1899" s="1">
        <v>0</v>
      </c>
      <c r="F1899" s="1">
        <v>1297.2776</v>
      </c>
    </row>
    <row r="1900" spans="1:6">
      <c r="A1900" s="1" t="inlineStr">
        <is>
          <t>CUAP</t>
        </is>
      </c>
      <c r="B1900" s="3">
        <v>48395</v>
      </c>
      <c r="C1900" s="1">
        <v>78385.357</v>
      </c>
      <c r="D1900" s="1">
        <v>1297.2776</v>
      </c>
      <c r="E1900" s="1">
        <v>0</v>
      </c>
      <c r="F1900" s="1">
        <v>1297.2776</v>
      </c>
    </row>
    <row r="1901" spans="1:6">
      <c r="A1901" s="1" t="inlineStr">
        <is>
          <t>CUAP</t>
        </is>
      </c>
      <c r="B1901" s="3">
        <v>48579</v>
      </c>
      <c r="C1901" s="1">
        <v>78385.357</v>
      </c>
      <c r="D1901" s="1">
        <v>1297.2776</v>
      </c>
      <c r="E1901" s="1">
        <v>0</v>
      </c>
      <c r="F1901" s="1">
        <v>1297.2776</v>
      </c>
    </row>
    <row r="1902" spans="1:6">
      <c r="A1902" s="1" t="inlineStr">
        <is>
          <t>CUAP</t>
        </is>
      </c>
      <c r="B1902" s="3">
        <v>48760</v>
      </c>
      <c r="C1902" s="1">
        <v>78385.357</v>
      </c>
      <c r="D1902" s="1">
        <v>1297.2776</v>
      </c>
      <c r="E1902" s="1">
        <v>0</v>
      </c>
      <c r="F1902" s="1">
        <v>1297.2776</v>
      </c>
    </row>
    <row r="1903" spans="1:6">
      <c r="A1903" s="1" t="inlineStr">
        <is>
          <t>CUAP</t>
        </is>
      </c>
      <c r="B1903" s="3">
        <v>48946</v>
      </c>
      <c r="C1903" s="1">
        <v>78385.357</v>
      </c>
      <c r="D1903" s="1">
        <v>1297.2776</v>
      </c>
      <c r="E1903" s="1">
        <v>0</v>
      </c>
      <c r="F1903" s="1">
        <v>1297.2776</v>
      </c>
    </row>
    <row r="1904" spans="1:6">
      <c r="A1904" s="1" t="inlineStr">
        <is>
          <t>CUAP</t>
        </is>
      </c>
      <c r="B1904" s="3">
        <v>49125</v>
      </c>
      <c r="C1904" s="1">
        <v>78385.357</v>
      </c>
      <c r="D1904" s="1">
        <v>1297.2776</v>
      </c>
      <c r="E1904" s="1">
        <v>0</v>
      </c>
      <c r="F1904" s="1">
        <v>1297.2776</v>
      </c>
    </row>
    <row r="1905" spans="1:6">
      <c r="A1905" s="1" t="inlineStr">
        <is>
          <t>CUAP</t>
        </is>
      </c>
      <c r="B1905" s="3">
        <v>49311</v>
      </c>
      <c r="C1905" s="1">
        <v>78385.357</v>
      </c>
      <c r="D1905" s="1">
        <v>1297.2776</v>
      </c>
      <c r="E1905" s="1">
        <v>0</v>
      </c>
      <c r="F1905" s="1">
        <v>1297.2776</v>
      </c>
    </row>
    <row r="1906" spans="1:6">
      <c r="A1906" s="1" t="inlineStr">
        <is>
          <t>CUAP</t>
        </is>
      </c>
      <c r="B1906" s="3">
        <v>49492</v>
      </c>
      <c r="C1906" s="1">
        <v>78385.357</v>
      </c>
      <c r="D1906" s="1">
        <v>1297.2776</v>
      </c>
      <c r="E1906" s="1">
        <v>0</v>
      </c>
      <c r="F1906" s="1">
        <v>1297.2776</v>
      </c>
    </row>
    <row r="1907" spans="1:6">
      <c r="A1907" s="1" t="inlineStr">
        <is>
          <t>CUAP</t>
        </is>
      </c>
      <c r="B1907" s="3">
        <v>49674</v>
      </c>
      <c r="C1907" s="1">
        <v>78385.357</v>
      </c>
      <c r="D1907" s="1">
        <v>1297.2776</v>
      </c>
      <c r="E1907" s="1">
        <v>0</v>
      </c>
      <c r="F1907" s="1">
        <v>1297.2776</v>
      </c>
    </row>
    <row r="1908" spans="1:6">
      <c r="A1908" s="1" t="inlineStr">
        <is>
          <t>CUAP</t>
        </is>
      </c>
      <c r="B1908" s="3">
        <v>49856</v>
      </c>
      <c r="C1908" s="1">
        <v>78385.357</v>
      </c>
      <c r="D1908" s="1">
        <v>1297.2776</v>
      </c>
      <c r="E1908" s="1">
        <v>3919.26785</v>
      </c>
      <c r="F1908" s="1">
        <v>5216.54545</v>
      </c>
    </row>
    <row r="1909" spans="1:6">
      <c r="A1909" s="1" t="inlineStr">
        <is>
          <t>CUAP</t>
        </is>
      </c>
      <c r="B1909" s="3">
        <v>50040</v>
      </c>
      <c r="C1909" s="1">
        <v>74466.08915</v>
      </c>
      <c r="D1909" s="1">
        <v>1232.4137</v>
      </c>
      <c r="E1909" s="1">
        <v>3919.26785</v>
      </c>
      <c r="F1909" s="1">
        <v>5151.68155</v>
      </c>
    </row>
    <row r="1910" spans="1:6">
      <c r="A1910" s="1" t="inlineStr">
        <is>
          <t>CUAP</t>
        </is>
      </c>
      <c r="B1910" s="3">
        <v>50221</v>
      </c>
      <c r="C1910" s="1">
        <v>70546.8213</v>
      </c>
      <c r="D1910" s="1">
        <v>1167.54979</v>
      </c>
      <c r="E1910" s="1">
        <v>3919.26785</v>
      </c>
      <c r="F1910" s="1">
        <v>5086.81764</v>
      </c>
    </row>
    <row r="1911" spans="1:6">
      <c r="A1911" s="1" t="inlineStr">
        <is>
          <t>CUAP</t>
        </is>
      </c>
      <c r="B1911" s="3">
        <v>50405</v>
      </c>
      <c r="C1911" s="1">
        <v>66627.55345</v>
      </c>
      <c r="D1911" s="1">
        <v>1102.68588</v>
      </c>
      <c r="E1911" s="1">
        <v>3919.26785</v>
      </c>
      <c r="F1911" s="1">
        <v>5021.95373</v>
      </c>
    </row>
    <row r="1912" spans="1:6">
      <c r="A1912" s="1" t="inlineStr">
        <is>
          <t>CUAP</t>
        </is>
      </c>
      <c r="B1912" s="3">
        <v>50586</v>
      </c>
      <c r="C1912" s="1">
        <v>62708.2856</v>
      </c>
      <c r="D1912" s="1">
        <v>1037.82197</v>
      </c>
      <c r="E1912" s="1">
        <v>3919.26785</v>
      </c>
      <c r="F1912" s="1">
        <v>4957.08982</v>
      </c>
    </row>
    <row r="1913" spans="1:6">
      <c r="A1913" s="1" t="inlineStr">
        <is>
          <t>CUAP</t>
        </is>
      </c>
      <c r="B1913" s="3">
        <v>50770</v>
      </c>
      <c r="C1913" s="1">
        <v>58789.01775</v>
      </c>
      <c r="D1913" s="1">
        <v>972.95806</v>
      </c>
      <c r="E1913" s="1">
        <v>3919.26785</v>
      </c>
      <c r="F1913" s="1">
        <v>4892.22591</v>
      </c>
    </row>
    <row r="1914" spans="1:6">
      <c r="A1914" s="1" t="inlineStr">
        <is>
          <t>CUAP</t>
        </is>
      </c>
      <c r="B1914" s="3">
        <v>50951</v>
      </c>
      <c r="C1914" s="1">
        <v>54869.7499</v>
      </c>
      <c r="D1914" s="1">
        <v>908.09415</v>
      </c>
      <c r="E1914" s="1">
        <v>3919.26785</v>
      </c>
      <c r="F1914" s="1">
        <v>4827.362</v>
      </c>
    </row>
    <row r="1915" spans="1:6">
      <c r="A1915" s="1" t="inlineStr">
        <is>
          <t>CUAP</t>
        </is>
      </c>
      <c r="B1915" s="3">
        <v>51137</v>
      </c>
      <c r="C1915" s="1">
        <v>50950.48205</v>
      </c>
      <c r="D1915" s="1">
        <v>843.23025</v>
      </c>
      <c r="E1915" s="1">
        <v>3919.26785</v>
      </c>
      <c r="F1915" s="1">
        <v>4762.4981</v>
      </c>
    </row>
    <row r="1916" spans="1:6">
      <c r="A1916" s="1" t="inlineStr">
        <is>
          <t>CUAP</t>
        </is>
      </c>
      <c r="B1916" s="3">
        <v>51319</v>
      </c>
      <c r="C1916" s="1">
        <v>47031.2142</v>
      </c>
      <c r="D1916" s="1">
        <v>778.36634</v>
      </c>
      <c r="E1916" s="1">
        <v>3919.26785</v>
      </c>
      <c r="F1916" s="1">
        <v>4697.63419</v>
      </c>
    </row>
    <row r="1917" spans="1:6">
      <c r="A1917" s="1" t="inlineStr">
        <is>
          <t>CUAP</t>
        </is>
      </c>
      <c r="B1917" s="3">
        <v>51501</v>
      </c>
      <c r="C1917" s="1">
        <v>43111.94635</v>
      </c>
      <c r="D1917" s="1">
        <v>713.50299</v>
      </c>
      <c r="E1917" s="1">
        <v>3919.26785</v>
      </c>
      <c r="F1917" s="1">
        <v>4632.77084</v>
      </c>
    </row>
    <row r="1918" spans="1:6">
      <c r="A1918" s="1" t="inlineStr">
        <is>
          <t>CUAP</t>
        </is>
      </c>
      <c r="B1918" s="3">
        <v>51683</v>
      </c>
      <c r="C1918" s="1">
        <v>39192.6785</v>
      </c>
      <c r="D1918" s="1">
        <v>648.63908</v>
      </c>
      <c r="E1918" s="1">
        <v>3919.26785</v>
      </c>
      <c r="F1918" s="1">
        <v>4567.90693</v>
      </c>
    </row>
    <row r="1919" spans="1:6">
      <c r="A1919" s="1" t="inlineStr">
        <is>
          <t>CUAP</t>
        </is>
      </c>
      <c r="B1919" s="3">
        <v>51866</v>
      </c>
      <c r="C1919" s="1">
        <v>35273.41065</v>
      </c>
      <c r="D1919" s="1">
        <v>583.77518</v>
      </c>
      <c r="E1919" s="1">
        <v>3919.26785</v>
      </c>
      <c r="F1919" s="1">
        <v>4503.04303</v>
      </c>
    </row>
    <row r="1920" spans="1:6">
      <c r="A1920" s="1" t="inlineStr">
        <is>
          <t>CUAP</t>
        </is>
      </c>
      <c r="B1920" s="3">
        <v>52047</v>
      </c>
      <c r="C1920" s="1">
        <v>31354.1428</v>
      </c>
      <c r="D1920" s="1">
        <v>518.91127</v>
      </c>
      <c r="E1920" s="1">
        <v>3919.26785</v>
      </c>
      <c r="F1920" s="1">
        <v>4438.17912</v>
      </c>
    </row>
    <row r="1921" spans="1:6">
      <c r="A1921" s="1" t="inlineStr">
        <is>
          <t>CUAP</t>
        </is>
      </c>
      <c r="B1921" s="3">
        <v>52231</v>
      </c>
      <c r="C1921" s="1">
        <v>27434.87495</v>
      </c>
      <c r="D1921" s="1">
        <v>454.04736</v>
      </c>
      <c r="E1921" s="1">
        <v>3919.26785</v>
      </c>
      <c r="F1921" s="1">
        <v>4373.31521</v>
      </c>
    </row>
    <row r="1922" spans="1:6">
      <c r="A1922" s="1" t="inlineStr">
        <is>
          <t>CUAP</t>
        </is>
      </c>
      <c r="B1922" s="3">
        <v>52412</v>
      </c>
      <c r="C1922" s="1">
        <v>23515.6071</v>
      </c>
      <c r="D1922" s="1">
        <v>389.18345</v>
      </c>
      <c r="E1922" s="1">
        <v>3919.26785</v>
      </c>
      <c r="F1922" s="1">
        <v>4308.4513</v>
      </c>
    </row>
    <row r="1923" spans="1:6">
      <c r="A1923" s="1" t="inlineStr">
        <is>
          <t>CUAP</t>
        </is>
      </c>
      <c r="B1923" s="3">
        <v>52596</v>
      </c>
      <c r="C1923" s="1">
        <v>19596.33925</v>
      </c>
      <c r="D1923" s="1">
        <v>324.31954</v>
      </c>
      <c r="E1923" s="1">
        <v>3919.26785</v>
      </c>
      <c r="F1923" s="1">
        <v>4243.58739</v>
      </c>
    </row>
    <row r="1924" spans="1:6">
      <c r="A1924" s="1" t="inlineStr">
        <is>
          <t>CUAP</t>
        </is>
      </c>
      <c r="B1924" s="3">
        <v>52778</v>
      </c>
      <c r="C1924" s="1">
        <v>15677.0714</v>
      </c>
      <c r="D1924" s="1">
        <v>259.45563</v>
      </c>
      <c r="E1924" s="1">
        <v>3919.26785</v>
      </c>
      <c r="F1924" s="1">
        <v>4178.72348</v>
      </c>
    </row>
    <row r="1925" spans="1:6">
      <c r="A1925" s="1" t="inlineStr">
        <is>
          <t>CUAP</t>
        </is>
      </c>
      <c r="B1925" s="3">
        <v>52964</v>
      </c>
      <c r="C1925" s="1">
        <v>11757.80355</v>
      </c>
      <c r="D1925" s="1">
        <v>194.59173</v>
      </c>
      <c r="E1925" s="1">
        <v>3919.26785</v>
      </c>
      <c r="F1925" s="1">
        <v>4113.85958</v>
      </c>
    </row>
    <row r="1926" spans="1:6">
      <c r="A1926" s="1" t="inlineStr">
        <is>
          <t>CUAP</t>
        </is>
      </c>
      <c r="B1926" s="3">
        <v>53143</v>
      </c>
      <c r="C1926" s="1">
        <v>7838.5357</v>
      </c>
      <c r="D1926" s="1">
        <v>129.72782</v>
      </c>
      <c r="E1926" s="1">
        <v>3919.26785</v>
      </c>
      <c r="F1926" s="1">
        <v>4048.99567</v>
      </c>
    </row>
    <row r="1927" spans="1:6">
      <c r="A1927" s="1" t="inlineStr">
        <is>
          <t>CUAP</t>
        </is>
      </c>
      <c r="B1927" s="3">
        <v>53329</v>
      </c>
      <c r="C1927" s="1">
        <v>3919.26785</v>
      </c>
      <c r="D1927" s="1">
        <v>64.86391</v>
      </c>
      <c r="E1927" s="1">
        <v>3919.26785</v>
      </c>
      <c r="F1927" s="1">
        <v>3984.13176</v>
      </c>
    </row>
    <row r="1928" spans="1:6">
      <c r="A1928" s="1" t="inlineStr">
        <is>
          <t>VSCUD</t>
        </is>
      </c>
      <c r="B1928" s="3">
        <v>45908</v>
      </c>
      <c r="C1928" s="1">
        <v>100.0</v>
      </c>
      <c r="D1928" s="1">
        <v>3.7808219178</v>
      </c>
      <c r="E1928" s="1">
        <v>0</v>
      </c>
      <c r="F1928" s="1">
        <v>3.7808219178</v>
      </c>
    </row>
    <row r="1929" spans="1:6">
      <c r="A1929" s="1" t="inlineStr">
        <is>
          <t>VSCUD</t>
        </is>
      </c>
      <c r="B1929" s="3">
        <v>46090</v>
      </c>
      <c r="C1929" s="1">
        <v>100.0</v>
      </c>
      <c r="D1929" s="1">
        <v>3.7191780822</v>
      </c>
      <c r="E1929" s="1">
        <v>0</v>
      </c>
      <c r="F1929" s="1">
        <v>3.7191780822</v>
      </c>
    </row>
    <row r="1930" spans="1:6">
      <c r="A1930" s="1" t="inlineStr">
        <is>
          <t>VSCUD</t>
        </is>
      </c>
      <c r="B1930" s="3">
        <v>46272</v>
      </c>
      <c r="C1930" s="1">
        <v>100.0</v>
      </c>
      <c r="D1930" s="1">
        <v>3.7808219178</v>
      </c>
      <c r="E1930" s="1">
        <v>0</v>
      </c>
      <c r="F1930" s="1">
        <v>3.7808219178</v>
      </c>
    </row>
    <row r="1931" spans="1:6">
      <c r="A1931" s="1" t="inlineStr">
        <is>
          <t>VSCUD</t>
        </is>
      </c>
      <c r="B1931" s="3">
        <v>46454</v>
      </c>
      <c r="C1931" s="1">
        <v>100.0</v>
      </c>
      <c r="D1931" s="1">
        <v>3.7191780822</v>
      </c>
      <c r="E1931" s="1">
        <v>0</v>
      </c>
      <c r="F1931" s="1">
        <v>3.7191780822</v>
      </c>
    </row>
    <row r="1932" spans="1:6">
      <c r="A1932" s="1" t="inlineStr">
        <is>
          <t>VSCUD</t>
        </is>
      </c>
      <c r="B1932" s="3">
        <v>46637</v>
      </c>
      <c r="C1932" s="1">
        <v>100.0</v>
      </c>
      <c r="D1932" s="1">
        <v>3.7808219178</v>
      </c>
      <c r="E1932" s="1">
        <v>0</v>
      </c>
      <c r="F1932" s="1">
        <v>3.7808219178</v>
      </c>
    </row>
    <row r="1933" spans="1:6">
      <c r="A1933" s="1" t="inlineStr">
        <is>
          <t>VSCUD</t>
        </is>
      </c>
      <c r="B1933" s="3">
        <v>46819</v>
      </c>
      <c r="C1933" s="1">
        <v>100.0</v>
      </c>
      <c r="D1933" s="1">
        <v>3.7397260274</v>
      </c>
      <c r="E1933" s="1">
        <v>0</v>
      </c>
      <c r="F1933" s="1">
        <v>3.7397260274</v>
      </c>
    </row>
    <row r="1934" spans="1:6">
      <c r="A1934" s="1" t="inlineStr">
        <is>
          <t>VSCUD</t>
        </is>
      </c>
      <c r="B1934" s="3">
        <v>47003</v>
      </c>
      <c r="C1934" s="1">
        <v>100.0</v>
      </c>
      <c r="D1934" s="1">
        <v>3.7808219178</v>
      </c>
      <c r="E1934" s="1">
        <v>0</v>
      </c>
      <c r="F1934" s="1">
        <v>3.7808219178</v>
      </c>
    </row>
    <row r="1935" spans="1:6">
      <c r="A1935" s="1" t="inlineStr">
        <is>
          <t>VSCUD</t>
        </is>
      </c>
      <c r="B1935" s="3">
        <v>47184</v>
      </c>
      <c r="C1935" s="1">
        <v>100.0</v>
      </c>
      <c r="D1935" s="1">
        <v>3.7191780822</v>
      </c>
      <c r="E1935" s="1">
        <v>0</v>
      </c>
      <c r="F1935" s="1">
        <v>3.7191780822</v>
      </c>
    </row>
    <row r="1936" spans="1:6">
      <c r="A1936" s="1" t="inlineStr">
        <is>
          <t>VSCUD</t>
        </is>
      </c>
      <c r="B1936" s="3">
        <v>47368</v>
      </c>
      <c r="C1936" s="1">
        <v>100.0</v>
      </c>
      <c r="D1936" s="1">
        <v>3.7808219178</v>
      </c>
      <c r="E1936" s="1">
        <v>0</v>
      </c>
      <c r="F1936" s="1">
        <v>3.7808219178</v>
      </c>
    </row>
    <row r="1937" spans="1:6">
      <c r="A1937" s="1" t="inlineStr">
        <is>
          <t>VSCUD</t>
        </is>
      </c>
      <c r="B1937" s="3">
        <v>47549</v>
      </c>
      <c r="C1937" s="1">
        <v>100.0</v>
      </c>
      <c r="D1937" s="1">
        <v>3.7191780822</v>
      </c>
      <c r="E1937" s="1">
        <v>100</v>
      </c>
      <c r="F1937" s="1">
        <v>103.7191780822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LECAPS</vt:lpstr>
      <vt:lpstr>TASA FIJA</vt:lpstr>
      <vt:lpstr>CER</vt:lpstr>
      <vt:lpstr>TAMAR</vt:lpstr>
      <vt:lpstr>USD Linked</vt:lpstr>
      <vt:lpstr>USD Bonares</vt:lpstr>
      <vt:lpstr>USD Globales</vt:lpstr>
      <vt:lpstr>USD Bopreales</vt:lpstr>
      <vt:lpstr>Duales</vt:lpstr>
      <vt:lpstr>ON 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Granda</dc:creator>
  <cp:lastModifiedBy>Francisco Granda</cp:lastModifiedBy>
  <dcterms:created xsi:type="dcterms:W3CDTF">2026-05-20T13:17:11Z</dcterms:created>
  <dcterms:modified xsi:type="dcterms:W3CDTF">2026-07-17T13:50:52Z</dcterms:modified>
</cp:coreProperties>
</file>