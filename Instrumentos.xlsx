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EAFE0835-1AC3-8B40-AF70-5A94F6015948}" xr6:coauthVersionLast="47" xr6:coauthVersionMax="47" xr10:uidLastSave="{00000000-0000-0000-0000-000000000000}"/>
  <bookViews>
    <workbookView xWindow="0" yWindow="760" windowWidth="29400" windowHeight="16940" activeTab="9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8" i="11" l="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F16" i="1"/>
  <c r="G16" i="1" s="1"/>
  <c r="F19" i="10"/>
  <c r="G19" i="10" s="1"/>
  <c r="F14" i="10"/>
  <c r="G14" i="10" s="1"/>
  <c r="E58" i="11" l="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6" i="7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C194" i="7"/>
  <c r="E183" i="7"/>
  <c r="G183" i="7" s="1"/>
  <c r="E182" i="7"/>
  <c r="G182" i="7" s="1"/>
  <c r="G181" i="7"/>
  <c r="C158" i="7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C157" i="7"/>
  <c r="E145" i="7"/>
  <c r="G145" i="7" s="1"/>
  <c r="G144" i="7"/>
  <c r="C133" i="7"/>
  <c r="C134" i="7"/>
  <c r="C135" i="7" s="1"/>
  <c r="C136" i="7" s="1"/>
  <c r="C137" i="7" s="1"/>
  <c r="C132" i="7"/>
  <c r="E119" i="7"/>
  <c r="G119" i="7" s="1"/>
  <c r="E118" i="7"/>
  <c r="G118" i="7" s="1"/>
  <c r="E113" i="7"/>
  <c r="G113" i="7" s="1"/>
  <c r="G112" i="7"/>
  <c r="C98" i="7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C97" i="7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G33" i="7"/>
  <c r="E33" i="7"/>
  <c r="G32" i="7"/>
  <c r="E32" i="7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F8" i="1"/>
  <c r="G8" i="1" s="1"/>
  <c r="F9" i="1"/>
  <c r="G9" i="1" s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222" i="7"/>
  <c r="G222" i="7" s="1"/>
  <c r="E216" i="7"/>
  <c r="G216" i="7" s="1"/>
  <c r="E185" i="7"/>
  <c r="G185" i="7" s="1"/>
  <c r="E184" i="7"/>
  <c r="G184" i="7" s="1"/>
  <c r="C195" i="7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5" i="11" l="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C62" i="11" l="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C27" i="11" l="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C64" i="11" l="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C29" i="11" l="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C66" i="11" l="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C31" i="11" l="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E154" i="7"/>
  <c r="G154" i="7" s="1"/>
  <c r="E102" i="7"/>
  <c r="G102" i="7" s="1"/>
  <c r="E35" i="2"/>
  <c r="G35" i="2" s="1"/>
  <c r="C48" i="11" l="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C50" i="11" l="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C71" i="11" l="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C52" i="11" l="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C53" i="11" l="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175" i="8" l="1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177" i="8" l="1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C188" i="8" l="1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179" i="8" l="1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181" i="8" l="1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C192" i="8" l="1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183" i="8" l="1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C194" i="8" l="1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C196" i="8" l="1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<sst xmlns="http://schemas.openxmlformats.org/spreadsheetml/2006/main" count="873" uniqueCount="90">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</sst>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6"/>
  <sheetViews>
    <sheetView topLeftCell="A10" workbookViewId="0">
      <selection activeCell="B22" sqref="B22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1" t="s">
        <v>29</v>
      </c>
      <c r="B2" s="1" t="s">
        <v>8</v>
      </c>
      <c r="C2" s="3">
        <v>45807</v>
      </c>
      <c r="D2" s="3">
        <v>46171</v>
      </c>
      <c r="E2" s="1">
        <v>2.35</v>
      </c>
      <c r="F2" s="1">
        <f t="shared" ref="F2:F7" si="0">((YEAR(D2)-YEAR(C2))*360+(MONTH(D2)-MONTH(C2))*30+(DAY(D2)-DAY(C2)))/30</f>
        <v>11.966666666666667</v>
      </c>
      <c r="G2" s="1">
        <f t="shared" ref="G2:G7" si="1">100*(1+E2/100)^F2</f>
        <v>132.04376604087778</v>
      </c>
    </row>
    <row r="3" spans="1:7" x14ac:dyDescent="0.2">
      <c r="A3" s="1" t="s">
        <v>30</v>
      </c>
      <c r="B3" s="1" t="s">
        <v>8</v>
      </c>
      <c r="C3" s="3">
        <v>46142</v>
      </c>
      <c r="D3" s="3">
        <v>46185</v>
      </c>
      <c r="E3" s="1">
        <v>2.1</v>
      </c>
      <c r="F3" s="1">
        <f t="shared" si="0"/>
        <v>1.4</v>
      </c>
      <c r="G3" s="1">
        <f t="shared" si="1"/>
        <v>102.9522965693394</v>
      </c>
    </row>
    <row r="4" spans="1:7" x14ac:dyDescent="0.2">
      <c r="A4" s="1" t="s">
        <v>31</v>
      </c>
      <c r="B4" s="1" t="s">
        <v>8</v>
      </c>
      <c r="C4" s="3">
        <v>45674</v>
      </c>
      <c r="D4" s="3">
        <v>46203</v>
      </c>
      <c r="E4" s="1">
        <v>2.15</v>
      </c>
      <c r="F4" s="1">
        <f t="shared" si="0"/>
        <v>17.433333333333334</v>
      </c>
      <c r="G4" s="1">
        <f t="shared" si="1"/>
        <v>144.89573444321886</v>
      </c>
    </row>
    <row r="5" spans="1:7" x14ac:dyDescent="0.2">
      <c r="A5" s="1" t="s">
        <v>32</v>
      </c>
      <c r="B5" s="1" t="s">
        <v>8</v>
      </c>
      <c r="C5" s="3">
        <v>46112</v>
      </c>
      <c r="D5" s="3">
        <v>46220</v>
      </c>
      <c r="E5" s="1">
        <v>2.16</v>
      </c>
      <c r="F5" s="1">
        <f t="shared" si="0"/>
        <v>3.5333333333333332</v>
      </c>
      <c r="G5" s="1">
        <f t="shared" si="1"/>
        <v>107.84312342507036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1">
        <f t="shared" si="0"/>
        <v>6.0333333333333332</v>
      </c>
      <c r="G6" s="1">
        <f t="shared" si="1"/>
        <v>117.78329808806545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1">
        <f t="shared" si="0"/>
        <v>3.9</v>
      </c>
      <c r="G7" s="1">
        <f t="shared" si="1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1">
        <f>((YEAR(D8)-YEAR(C8))*360+(MONTH(D8)-MONTH(C8))*30+(DAY(D8)-DAY(C8)))/30</f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1">
        <f>((YEAR(D9)-YEAR(C9))*360+(MONTH(D9)-MONTH(C9))*30+(DAY(D9)-DAY(C9)))/30</f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1">
        <f t="shared" ref="F10:F16" si="2">((YEAR(D10)-YEAR(C10))*360+(MONTH(D10)-MONTH(C10))*30+(DAY(D10)-DAY(C10)))/30</f>
        <v>11.966666666666667</v>
      </c>
      <c r="G10" s="1">
        <f t="shared" ref="G10:G16" si="3">100*(1+E10/100)^F10</f>
        <v>135.16475274454305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1">
        <f t="shared" si="2"/>
        <v>11.5</v>
      </c>
      <c r="G11" s="1">
        <f t="shared" si="3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1">
        <f t="shared" si="2"/>
        <v>23.466666666666665</v>
      </c>
      <c r="G12" s="1">
        <f t="shared" si="3"/>
        <v>160.99483590378082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1">
        <f t="shared" si="2"/>
        <v>17.966666666666665</v>
      </c>
      <c r="G13" s="1">
        <f t="shared" si="3"/>
        <v>157.20901351752886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1">
        <f t="shared" si="2"/>
        <v>17.533333333333335</v>
      </c>
      <c r="G14" s="1">
        <f t="shared" si="3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1">
        <f t="shared" si="2"/>
        <v>17.466666666666665</v>
      </c>
      <c r="G15" s="1">
        <f t="shared" si="3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1">
        <f t="shared" si="2"/>
        <v>3.5333333333333332</v>
      </c>
      <c r="G16" s="1">
        <f t="shared" si="3"/>
        <v>107.21037727507621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D12" sqref="D1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17"/>
  <sheetViews>
    <sheetView topLeftCell="A4" workbookViewId="0">
      <selection activeCell="C16" sqref="C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6" x14ac:dyDescent="0.2">
      <c r="A2" s="1" t="s">
        <v>22</v>
      </c>
      <c r="B2" s="1" t="s">
        <v>24</v>
      </c>
      <c r="C2" s="3">
        <v>45323</v>
      </c>
      <c r="D2" s="3">
        <v>46203</v>
      </c>
      <c r="E2" s="1">
        <v>10</v>
      </c>
      <c r="F2" s="1">
        <v>0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/>
      <c r="B14" s="1"/>
      <c r="C14" s="3"/>
      <c r="D14" s="3"/>
      <c r="E14" s="1"/>
      <c r="F14" s="1"/>
    </row>
    <row r="15" spans="1:6" x14ac:dyDescent="0.2">
      <c r="A15" s="1"/>
      <c r="B15" s="1"/>
      <c r="C15" s="3"/>
      <c r="D15" s="3"/>
      <c r="E15" s="1"/>
      <c r="F15" s="1"/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6"/>
  <sheetViews>
    <sheetView workbookViewId="0">
      <selection sqref="A1:F2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7"/>
  <sheetViews>
    <sheetView workbookViewId="0">
      <selection activeCell="A9" sqref="A9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1" t="s">
        <v>55</v>
      </c>
      <c r="B2" s="1" t="s">
        <v>56</v>
      </c>
      <c r="C2" s="3">
        <v>45350</v>
      </c>
      <c r="D2" s="3">
        <v>46203</v>
      </c>
      <c r="E2" s="1">
        <v>838.95</v>
      </c>
      <c r="F2" s="1">
        <v>0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G222"/>
  <sheetViews>
    <sheetView workbookViewId="0">
      <selection activeCell="C8" sqref="C8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7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73" si="33">((D145*C144)/360)*DAYS360(B144,B145)</f>
        <v>0.10590277777777778</v>
      </c>
      <c r="F145" s="1">
        <v>0</v>
      </c>
      <c r="G145" s="1">
        <f t="shared" ref="G145:G173" si="34">F145+E145</f>
        <v>0.10590277777777778</v>
      </c>
    </row>
    <row r="146" spans="1:7" x14ac:dyDescent="0.2">
      <c r="A146" s="1" t="s">
        <v>67</v>
      </c>
      <c r="B146" s="3">
        <v>44570</v>
      </c>
      <c r="C146" s="1">
        <v>100</v>
      </c>
      <c r="D146" s="4">
        <v>1.125E-2</v>
      </c>
      <c r="E146" s="5">
        <f t="shared" si="33"/>
        <v>0.5625</v>
      </c>
      <c r="F146" s="1">
        <v>0</v>
      </c>
      <c r="G146" s="1">
        <f t="shared" si="34"/>
        <v>0.5625</v>
      </c>
    </row>
    <row r="147" spans="1:7" x14ac:dyDescent="0.2">
      <c r="A147" s="1" t="s">
        <v>67</v>
      </c>
      <c r="B147" s="3">
        <v>44751</v>
      </c>
      <c r="C147" s="1">
        <v>100</v>
      </c>
      <c r="D147" s="4">
        <v>1.125E-2</v>
      </c>
      <c r="E147" s="5">
        <f t="shared" si="33"/>
        <v>0.5625</v>
      </c>
      <c r="F147" s="1">
        <v>0</v>
      </c>
      <c r="G147" s="1">
        <f t="shared" si="34"/>
        <v>0.5625</v>
      </c>
    </row>
    <row r="148" spans="1:7" x14ac:dyDescent="0.2">
      <c r="A148" s="1" t="s">
        <v>67</v>
      </c>
      <c r="B148" s="3">
        <v>44935</v>
      </c>
      <c r="C148" s="1">
        <v>100</v>
      </c>
      <c r="D148" s="4">
        <v>1.4999999999999999E-2</v>
      </c>
      <c r="E148" s="5">
        <f t="shared" si="33"/>
        <v>0.75</v>
      </c>
      <c r="F148" s="1">
        <v>0</v>
      </c>
      <c r="G148" s="1">
        <f t="shared" si="34"/>
        <v>0.75</v>
      </c>
    </row>
    <row r="149" spans="1:7" x14ac:dyDescent="0.2">
      <c r="A149" s="1" t="s">
        <v>67</v>
      </c>
      <c r="B149" s="3">
        <v>45116</v>
      </c>
      <c r="C149" s="1">
        <v>100</v>
      </c>
      <c r="D149" s="4">
        <v>1.4999999999999999E-2</v>
      </c>
      <c r="E149" s="5">
        <f t="shared" si="33"/>
        <v>0.75</v>
      </c>
      <c r="F149" s="1">
        <v>0</v>
      </c>
      <c r="G149" s="1">
        <f t="shared" si="34"/>
        <v>0.75</v>
      </c>
    </row>
    <row r="150" spans="1:7" x14ac:dyDescent="0.2">
      <c r="A150" s="1" t="s">
        <v>67</v>
      </c>
      <c r="B150" s="3">
        <v>45300</v>
      </c>
      <c r="C150" s="1">
        <v>100</v>
      </c>
      <c r="D150" s="4">
        <v>3.6249999999999998E-2</v>
      </c>
      <c r="E150" s="5">
        <f t="shared" si="33"/>
        <v>1.8124999999999998</v>
      </c>
      <c r="F150" s="1">
        <v>0</v>
      </c>
      <c r="G150" s="1">
        <f t="shared" si="34"/>
        <v>1.8124999999999998</v>
      </c>
    </row>
    <row r="151" spans="1:7" x14ac:dyDescent="0.2">
      <c r="A151" s="1" t="s">
        <v>67</v>
      </c>
      <c r="B151" s="3">
        <v>45482</v>
      </c>
      <c r="C151" s="1">
        <v>100</v>
      </c>
      <c r="D151" s="4">
        <v>3.6249999999999998E-2</v>
      </c>
      <c r="E151" s="5">
        <f t="shared" si="33"/>
        <v>1.8124999999999998</v>
      </c>
      <c r="F151" s="1">
        <v>0</v>
      </c>
      <c r="G151" s="1">
        <f t="shared" si="34"/>
        <v>1.8124999999999998</v>
      </c>
    </row>
    <row r="152" spans="1:7" x14ac:dyDescent="0.2">
      <c r="A152" s="1" t="s">
        <v>67</v>
      </c>
      <c r="B152" s="3">
        <v>45666</v>
      </c>
      <c r="C152" s="1">
        <v>100</v>
      </c>
      <c r="D152" s="4">
        <v>4.1250000000000002E-2</v>
      </c>
      <c r="E152" s="5">
        <f t="shared" si="33"/>
        <v>2.0625</v>
      </c>
      <c r="F152" s="1">
        <v>0</v>
      </c>
      <c r="G152" s="1">
        <f t="shared" si="34"/>
        <v>2.0625</v>
      </c>
    </row>
    <row r="153" spans="1:7" x14ac:dyDescent="0.2">
      <c r="A153" s="1" t="s">
        <v>67</v>
      </c>
      <c r="B153" s="3">
        <v>45847</v>
      </c>
      <c r="C153" s="1">
        <v>100</v>
      </c>
      <c r="D153" s="4">
        <v>4.1250000000000002E-2</v>
      </c>
      <c r="E153" s="5">
        <f t="shared" si="33"/>
        <v>2.0625</v>
      </c>
      <c r="F153" s="1">
        <v>0</v>
      </c>
      <c r="G153" s="1">
        <f t="shared" si="34"/>
        <v>2.0625</v>
      </c>
    </row>
    <row r="154" spans="1:7" x14ac:dyDescent="0.2">
      <c r="A154" s="1" t="s">
        <v>67</v>
      </c>
      <c r="B154" s="3">
        <v>46031</v>
      </c>
      <c r="C154" s="1">
        <v>100</v>
      </c>
      <c r="D154" s="4">
        <v>4.1250000000000002E-2</v>
      </c>
      <c r="E154" s="5">
        <f t="shared" si="33"/>
        <v>2.0625</v>
      </c>
      <c r="F154" s="1">
        <v>0</v>
      </c>
      <c r="G154" s="1">
        <f t="shared" si="34"/>
        <v>2.0625</v>
      </c>
    </row>
    <row r="155" spans="1:7" x14ac:dyDescent="0.2">
      <c r="A155" s="1" t="s">
        <v>67</v>
      </c>
      <c r="B155" s="3">
        <v>46212</v>
      </c>
      <c r="C155" s="1">
        <v>100</v>
      </c>
      <c r="D155" s="4">
        <v>4.1250000000000002E-2</v>
      </c>
      <c r="E155" s="5">
        <f t="shared" si="33"/>
        <v>2.0625</v>
      </c>
      <c r="F155" s="1">
        <v>0</v>
      </c>
      <c r="G155" s="1">
        <f t="shared" si="34"/>
        <v>2.0625</v>
      </c>
    </row>
    <row r="156" spans="1:7" x14ac:dyDescent="0.2">
      <c r="A156" s="1" t="s">
        <v>67</v>
      </c>
      <c r="B156" s="3">
        <v>46396</v>
      </c>
      <c r="C156" s="1">
        <v>100</v>
      </c>
      <c r="D156" s="4">
        <v>4.1250000000000002E-2</v>
      </c>
      <c r="E156" s="5">
        <f t="shared" si="33"/>
        <v>2.0625</v>
      </c>
      <c r="F156" s="1">
        <v>0</v>
      </c>
      <c r="G156" s="1">
        <f t="shared" si="34"/>
        <v>2.0625</v>
      </c>
    </row>
    <row r="157" spans="1:7" x14ac:dyDescent="0.2">
      <c r="A157" s="1" t="s">
        <v>67</v>
      </c>
      <c r="B157" s="3">
        <v>46577</v>
      </c>
      <c r="C157" s="1">
        <f>C156-F157</f>
        <v>95.454599999999999</v>
      </c>
      <c r="D157" s="4">
        <v>4.1250000000000002E-2</v>
      </c>
      <c r="E157" s="5">
        <f t="shared" si="33"/>
        <v>2.0625</v>
      </c>
      <c r="F157" s="1">
        <v>4.5453999999999999</v>
      </c>
      <c r="G157" s="1">
        <f t="shared" si="34"/>
        <v>6.6078999999999999</v>
      </c>
    </row>
    <row r="158" spans="1:7" x14ac:dyDescent="0.2">
      <c r="A158" s="1" t="s">
        <v>67</v>
      </c>
      <c r="B158" s="3">
        <v>46761</v>
      </c>
      <c r="C158" s="1">
        <f t="shared" ref="C158:C177" si="35">C157-F158</f>
        <v>90.909199999999998</v>
      </c>
      <c r="D158" s="4">
        <v>4.7500000000000001E-2</v>
      </c>
      <c r="E158" s="5">
        <f t="shared" si="33"/>
        <v>2.26704675</v>
      </c>
      <c r="F158" s="1">
        <v>4.5453999999999999</v>
      </c>
      <c r="G158" s="1">
        <f t="shared" si="34"/>
        <v>6.8124467499999994</v>
      </c>
    </row>
    <row r="159" spans="1:7" x14ac:dyDescent="0.2">
      <c r="A159" s="1" t="s">
        <v>67</v>
      </c>
      <c r="B159" s="3">
        <v>46943</v>
      </c>
      <c r="C159" s="1">
        <f t="shared" si="35"/>
        <v>86.363799999999998</v>
      </c>
      <c r="D159" s="4">
        <v>4.7500000000000001E-2</v>
      </c>
      <c r="E159" s="5">
        <f t="shared" si="33"/>
        <v>2.1590935</v>
      </c>
      <c r="F159" s="1">
        <v>4.5453999999999999</v>
      </c>
      <c r="G159" s="1">
        <f t="shared" si="34"/>
        <v>6.7044934999999999</v>
      </c>
    </row>
    <row r="160" spans="1:7" x14ac:dyDescent="0.2">
      <c r="A160" s="1" t="s">
        <v>67</v>
      </c>
      <c r="B160" s="3">
        <v>47127</v>
      </c>
      <c r="C160" s="1">
        <f t="shared" si="35"/>
        <v>81.818399999999997</v>
      </c>
      <c r="D160" s="4">
        <v>0.05</v>
      </c>
      <c r="E160" s="5">
        <f t="shared" si="33"/>
        <v>2.1590950000000002</v>
      </c>
      <c r="F160" s="1">
        <v>4.5453999999999999</v>
      </c>
      <c r="G160" s="1">
        <f t="shared" si="34"/>
        <v>6.7044949999999996</v>
      </c>
    </row>
    <row r="161" spans="1:7" x14ac:dyDescent="0.2">
      <c r="A161" s="1" t="s">
        <v>67</v>
      </c>
      <c r="B161" s="3">
        <v>47308</v>
      </c>
      <c r="C161" s="1">
        <f t="shared" si="35"/>
        <v>77.272999999999996</v>
      </c>
      <c r="D161" s="4">
        <v>0.05</v>
      </c>
      <c r="E161" s="5">
        <f t="shared" si="33"/>
        <v>2.0454599999999998</v>
      </c>
      <c r="F161" s="1">
        <v>4.5453999999999999</v>
      </c>
      <c r="G161" s="1">
        <f t="shared" si="34"/>
        <v>6.5908599999999993</v>
      </c>
    </row>
    <row r="162" spans="1:7" x14ac:dyDescent="0.2">
      <c r="A162" s="1" t="s">
        <v>67</v>
      </c>
      <c r="B162" s="3">
        <v>47492</v>
      </c>
      <c r="C162" s="1">
        <f t="shared" si="35"/>
        <v>72.727599999999995</v>
      </c>
      <c r="D162" s="4">
        <v>0.05</v>
      </c>
      <c r="E162" s="5">
        <f t="shared" si="33"/>
        <v>1.9318249999999999</v>
      </c>
      <c r="F162" s="1">
        <v>4.5453999999999999</v>
      </c>
      <c r="G162" s="1">
        <f t="shared" si="34"/>
        <v>6.4772249999999998</v>
      </c>
    </row>
    <row r="163" spans="1:7" x14ac:dyDescent="0.2">
      <c r="A163" s="1" t="s">
        <v>67</v>
      </c>
      <c r="B163" s="3">
        <v>47673</v>
      </c>
      <c r="C163" s="1">
        <f t="shared" si="35"/>
        <v>68.182199999999995</v>
      </c>
      <c r="D163" s="4">
        <v>0.05</v>
      </c>
      <c r="E163" s="5">
        <f t="shared" si="33"/>
        <v>1.81819</v>
      </c>
      <c r="F163" s="1">
        <v>4.5453999999999999</v>
      </c>
      <c r="G163" s="1">
        <f t="shared" si="34"/>
        <v>6.3635900000000003</v>
      </c>
    </row>
    <row r="164" spans="1:7" x14ac:dyDescent="0.2">
      <c r="A164" s="1" t="s">
        <v>67</v>
      </c>
      <c r="B164" s="3">
        <v>47857</v>
      </c>
      <c r="C164" s="1">
        <f t="shared" si="35"/>
        <v>63.636799999999994</v>
      </c>
      <c r="D164" s="4">
        <v>0.05</v>
      </c>
      <c r="E164" s="5">
        <f t="shared" si="33"/>
        <v>1.704555</v>
      </c>
      <c r="F164" s="1">
        <v>4.5453999999999999</v>
      </c>
      <c r="G164" s="1">
        <f t="shared" si="34"/>
        <v>6.2499549999999999</v>
      </c>
    </row>
    <row r="165" spans="1:7" x14ac:dyDescent="0.2">
      <c r="A165" s="1" t="s">
        <v>67</v>
      </c>
      <c r="B165" s="3">
        <v>48038</v>
      </c>
      <c r="C165" s="1">
        <f t="shared" si="35"/>
        <v>59.091399999999993</v>
      </c>
      <c r="D165" s="4">
        <v>0.05</v>
      </c>
      <c r="E165" s="5">
        <f t="shared" si="33"/>
        <v>1.5909199999999999</v>
      </c>
      <c r="F165" s="1">
        <v>4.5453999999999999</v>
      </c>
      <c r="G165" s="1">
        <f t="shared" si="34"/>
        <v>6.1363199999999996</v>
      </c>
    </row>
    <row r="166" spans="1:7" x14ac:dyDescent="0.2">
      <c r="A166" s="1" t="s">
        <v>67</v>
      </c>
      <c r="B166" s="3">
        <v>48222</v>
      </c>
      <c r="C166" s="1">
        <f t="shared" si="35"/>
        <v>54.545999999999992</v>
      </c>
      <c r="D166" s="4">
        <v>0.05</v>
      </c>
      <c r="E166" s="5">
        <f t="shared" si="33"/>
        <v>1.477285</v>
      </c>
      <c r="F166" s="1">
        <v>4.5453999999999999</v>
      </c>
      <c r="G166" s="1">
        <f t="shared" si="34"/>
        <v>6.0226850000000001</v>
      </c>
    </row>
    <row r="167" spans="1:7" x14ac:dyDescent="0.2">
      <c r="A167" s="1" t="s">
        <v>67</v>
      </c>
      <c r="B167" s="3">
        <v>48404</v>
      </c>
      <c r="C167" s="1">
        <f t="shared" si="35"/>
        <v>50.000599999999991</v>
      </c>
      <c r="D167" s="4">
        <v>0.05</v>
      </c>
      <c r="E167" s="5">
        <f t="shared" si="33"/>
        <v>1.3636499999999998</v>
      </c>
      <c r="F167" s="1">
        <v>4.5453999999999999</v>
      </c>
      <c r="G167" s="1">
        <f t="shared" si="34"/>
        <v>5.9090499999999997</v>
      </c>
    </row>
    <row r="168" spans="1:7" x14ac:dyDescent="0.2">
      <c r="A168" s="1" t="s">
        <v>67</v>
      </c>
      <c r="B168" s="3">
        <v>48588</v>
      </c>
      <c r="C168" s="1">
        <f t="shared" si="35"/>
        <v>45.455199999999991</v>
      </c>
      <c r="D168" s="4">
        <v>0.05</v>
      </c>
      <c r="E168" s="5">
        <f t="shared" si="33"/>
        <v>1.2500149999999999</v>
      </c>
      <c r="F168" s="1">
        <v>4.5453999999999999</v>
      </c>
      <c r="G168" s="1">
        <f t="shared" si="34"/>
        <v>5.7954150000000002</v>
      </c>
    </row>
    <row r="169" spans="1:7" x14ac:dyDescent="0.2">
      <c r="A169" s="1" t="s">
        <v>67</v>
      </c>
      <c r="B169" s="3">
        <v>48769</v>
      </c>
      <c r="C169" s="1">
        <f t="shared" si="35"/>
        <v>40.90979999999999</v>
      </c>
      <c r="D169" s="4">
        <v>0.05</v>
      </c>
      <c r="E169" s="5">
        <f t="shared" si="33"/>
        <v>1.1363799999999997</v>
      </c>
      <c r="F169" s="1">
        <v>4.5453999999999999</v>
      </c>
      <c r="G169" s="1">
        <f t="shared" si="34"/>
        <v>5.6817799999999998</v>
      </c>
    </row>
    <row r="170" spans="1:7" x14ac:dyDescent="0.2">
      <c r="A170" s="1" t="s">
        <v>67</v>
      </c>
      <c r="B170" s="3">
        <v>48953</v>
      </c>
      <c r="C170" s="1">
        <f t="shared" si="35"/>
        <v>36.364399999999989</v>
      </c>
      <c r="D170" s="4">
        <v>0.05</v>
      </c>
      <c r="E170" s="5">
        <f t="shared" si="33"/>
        <v>1.0227449999999998</v>
      </c>
      <c r="F170" s="1">
        <v>4.5453999999999999</v>
      </c>
      <c r="G170" s="1">
        <f t="shared" si="34"/>
        <v>5.5681449999999995</v>
      </c>
    </row>
    <row r="171" spans="1:7" x14ac:dyDescent="0.2">
      <c r="A171" s="1" t="s">
        <v>67</v>
      </c>
      <c r="B171" s="3">
        <v>49134</v>
      </c>
      <c r="C171" s="1">
        <f t="shared" si="35"/>
        <v>31.818999999999988</v>
      </c>
      <c r="D171" s="4">
        <v>0.05</v>
      </c>
      <c r="E171" s="5">
        <f t="shared" si="33"/>
        <v>0.90910999999999975</v>
      </c>
      <c r="F171" s="1">
        <v>4.5453999999999999</v>
      </c>
      <c r="G171" s="1">
        <f t="shared" si="34"/>
        <v>5.45451</v>
      </c>
    </row>
    <row r="172" spans="1:7" x14ac:dyDescent="0.2">
      <c r="A172" s="1" t="s">
        <v>67</v>
      </c>
      <c r="B172" s="3">
        <v>49318</v>
      </c>
      <c r="C172" s="1">
        <f t="shared" si="35"/>
        <v>27.273599999999988</v>
      </c>
      <c r="D172" s="4">
        <v>0.05</v>
      </c>
      <c r="E172" s="5">
        <f t="shared" si="33"/>
        <v>0.79547499999999971</v>
      </c>
      <c r="F172" s="1">
        <v>4.5453999999999999</v>
      </c>
      <c r="G172" s="1">
        <f t="shared" si="34"/>
        <v>5.3408749999999996</v>
      </c>
    </row>
    <row r="173" spans="1:7" x14ac:dyDescent="0.2">
      <c r="A173" s="1" t="s">
        <v>67</v>
      </c>
      <c r="B173" s="3">
        <v>49499</v>
      </c>
      <c r="C173" s="1">
        <f t="shared" si="35"/>
        <v>22.728199999999987</v>
      </c>
      <c r="D173" s="4">
        <v>0.05</v>
      </c>
      <c r="E173" s="5">
        <f t="shared" si="33"/>
        <v>0.68183999999999978</v>
      </c>
      <c r="F173" s="1">
        <v>4.5453999999999999</v>
      </c>
      <c r="G173" s="1">
        <f t="shared" si="34"/>
        <v>5.2272400000000001</v>
      </c>
    </row>
    <row r="174" spans="1:7" x14ac:dyDescent="0.2">
      <c r="A174" s="1" t="s">
        <v>67</v>
      </c>
      <c r="B174" s="3">
        <v>49683</v>
      </c>
      <c r="C174" s="1">
        <f t="shared" si="35"/>
        <v>18.182799999999986</v>
      </c>
      <c r="D174" s="4">
        <v>0.05</v>
      </c>
      <c r="E174" s="5">
        <f t="shared" ref="E174:E178" si="36">((D174*C173)/360)*DAYS360(B173,B174)</f>
        <v>0.56820499999999974</v>
      </c>
      <c r="F174" s="1">
        <v>4.5453999999999999</v>
      </c>
      <c r="G174" s="1">
        <f t="shared" ref="G174:G178" si="37">F174+E174</f>
        <v>5.1136049999999997</v>
      </c>
    </row>
    <row r="175" spans="1:7" x14ac:dyDescent="0.2">
      <c r="A175" s="1" t="s">
        <v>67</v>
      </c>
      <c r="B175" s="3">
        <v>49865</v>
      </c>
      <c r="C175" s="1">
        <f t="shared" si="35"/>
        <v>13.637399999999985</v>
      </c>
      <c r="D175" s="4">
        <v>0.05</v>
      </c>
      <c r="E175" s="5">
        <f t="shared" si="36"/>
        <v>0.4545699999999997</v>
      </c>
      <c r="F175" s="1">
        <v>4.5453999999999999</v>
      </c>
      <c r="G175" s="1">
        <f t="shared" si="37"/>
        <v>4.9999699999999994</v>
      </c>
    </row>
    <row r="176" spans="1:7" x14ac:dyDescent="0.2">
      <c r="A176" s="1" t="s">
        <v>67</v>
      </c>
      <c r="B176" s="3">
        <v>50049</v>
      </c>
      <c r="C176" s="1">
        <f t="shared" si="35"/>
        <v>9.0919999999999845</v>
      </c>
      <c r="D176" s="4">
        <v>0.05</v>
      </c>
      <c r="E176" s="5">
        <f t="shared" si="36"/>
        <v>0.34093499999999965</v>
      </c>
      <c r="F176" s="1">
        <v>4.5453999999999999</v>
      </c>
      <c r="G176" s="1">
        <f t="shared" si="37"/>
        <v>4.8863349999999999</v>
      </c>
    </row>
    <row r="177" spans="1:7" x14ac:dyDescent="0.2">
      <c r="A177" s="1" t="s">
        <v>67</v>
      </c>
      <c r="B177" s="3">
        <v>50230</v>
      </c>
      <c r="C177" s="1">
        <f t="shared" si="35"/>
        <v>4.5465999999999847</v>
      </c>
      <c r="D177" s="4">
        <v>0.05</v>
      </c>
      <c r="E177" s="5">
        <f t="shared" si="36"/>
        <v>0.22729999999999961</v>
      </c>
      <c r="F177" s="1">
        <v>4.5453999999999999</v>
      </c>
      <c r="G177" s="1">
        <f t="shared" si="37"/>
        <v>4.7726999999999995</v>
      </c>
    </row>
    <row r="178" spans="1:7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6"/>
        <v>0.11366499999999963</v>
      </c>
      <c r="F178" s="1">
        <v>4.5465999999999998</v>
      </c>
      <c r="G178" s="1">
        <f t="shared" si="37"/>
        <v>4.660264999999999</v>
      </c>
    </row>
    <row r="179" spans="1:7" x14ac:dyDescent="0.2">
      <c r="A179" s="1"/>
      <c r="B179" s="3"/>
      <c r="C179" s="1"/>
      <c r="D179" s="4"/>
      <c r="E179" s="5"/>
      <c r="F179" s="1"/>
      <c r="G179" s="1"/>
    </row>
    <row r="180" spans="1:7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7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7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7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7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7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7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7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7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7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7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7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7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workbookViewId="0">
      <selection activeCell="I32" sqref="I3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1.125E-2</v>
      </c>
      <c r="E78" s="5">
        <f t="shared" si="9"/>
        <v>0.5625</v>
      </c>
      <c r="F78" s="1">
        <v>0</v>
      </c>
      <c r="G78" s="1">
        <f t="shared" si="10"/>
        <v>0.5625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1.125E-2</v>
      </c>
      <c r="E79" s="5">
        <f t="shared" si="9"/>
        <v>0.5625</v>
      </c>
      <c r="F79" s="1">
        <v>0</v>
      </c>
      <c r="G79" s="1">
        <f t="shared" si="10"/>
        <v>0.5625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1.4999999999999999E-2</v>
      </c>
      <c r="E80" s="5">
        <f t="shared" si="9"/>
        <v>0.75</v>
      </c>
      <c r="F80" s="1">
        <v>0</v>
      </c>
      <c r="G80" s="1">
        <f t="shared" si="10"/>
        <v>0.75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1.4999999999999999E-2</v>
      </c>
      <c r="E81" s="5">
        <f t="shared" si="9"/>
        <v>0.75</v>
      </c>
      <c r="F81" s="1">
        <v>0</v>
      </c>
      <c r="G81" s="1">
        <f t="shared" si="10"/>
        <v>0.75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3.6249999999999998E-2</v>
      </c>
      <c r="E82" s="5">
        <f t="shared" si="9"/>
        <v>1.8124999999999998</v>
      </c>
      <c r="F82" s="1">
        <v>0</v>
      </c>
      <c r="G82" s="1">
        <f t="shared" si="10"/>
        <v>1.8124999999999998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3.6249999999999998E-2</v>
      </c>
      <c r="E83" s="5">
        <f t="shared" si="9"/>
        <v>1.8124999999999998</v>
      </c>
      <c r="F83" s="1">
        <v>0</v>
      </c>
      <c r="G83" s="1">
        <f t="shared" si="10"/>
        <v>1.8124999999999998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4.1250000000000002E-2</v>
      </c>
      <c r="E84" s="5">
        <f t="shared" si="9"/>
        <v>2.0625</v>
      </c>
      <c r="F84" s="1">
        <v>0</v>
      </c>
      <c r="G84" s="1">
        <f t="shared" si="10"/>
        <v>2.0625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4.1250000000000002E-2</v>
      </c>
      <c r="E85" s="5">
        <f t="shared" si="9"/>
        <v>2.0625</v>
      </c>
      <c r="F85" s="1">
        <v>0</v>
      </c>
      <c r="G85" s="1">
        <f t="shared" si="10"/>
        <v>2.0625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4.1250000000000002E-2</v>
      </c>
      <c r="E86" s="5">
        <f t="shared" si="9"/>
        <v>2.0625</v>
      </c>
      <c r="F86" s="1">
        <v>0</v>
      </c>
      <c r="G86" s="1">
        <f t="shared" si="10"/>
        <v>2.0625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4.1250000000000002E-2</v>
      </c>
      <c r="E87" s="5">
        <f t="shared" si="9"/>
        <v>2.0625</v>
      </c>
      <c r="F87" s="1">
        <v>0</v>
      </c>
      <c r="G87" s="1">
        <f t="shared" si="10"/>
        <v>2.0625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4.1250000000000002E-2</v>
      </c>
      <c r="E88" s="5">
        <f t="shared" si="9"/>
        <v>2.0625</v>
      </c>
      <c r="F88" s="1">
        <v>0</v>
      </c>
      <c r="G88" s="1">
        <f t="shared" si="10"/>
        <v>2.0625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4.1250000000000002E-2</v>
      </c>
      <c r="E89" s="5">
        <f t="shared" si="9"/>
        <v>2.0625</v>
      </c>
      <c r="F89" s="1">
        <v>4.5453999999999999</v>
      </c>
      <c r="G89" s="1">
        <f t="shared" si="10"/>
        <v>6.6078999999999999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4.7500000000000001E-2</v>
      </c>
      <c r="E90" s="5">
        <f t="shared" si="9"/>
        <v>2.26704675</v>
      </c>
      <c r="F90" s="1">
        <v>4.5453999999999999</v>
      </c>
      <c r="G90" s="1">
        <f t="shared" si="10"/>
        <v>6.8124467499999994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4.7500000000000001E-2</v>
      </c>
      <c r="E91" s="5">
        <f t="shared" si="9"/>
        <v>2.1590935</v>
      </c>
      <c r="F91" s="1">
        <v>4.5453999999999999</v>
      </c>
      <c r="G91" s="1">
        <f t="shared" si="10"/>
        <v>6.7044934999999999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39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19"/>
  <sheetViews>
    <sheetView workbookViewId="0">
      <selection activeCell="G22" sqref="G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1" spans="1:7" x14ac:dyDescent="0.2">
      <c r="A11" s="2" t="s">
        <v>0</v>
      </c>
      <c r="B11" s="2" t="s">
        <v>1</v>
      </c>
      <c r="C11" s="2" t="s">
        <v>18</v>
      </c>
      <c r="D11" s="2" t="s">
        <v>19</v>
      </c>
      <c r="E11" s="2" t="s">
        <v>28</v>
      </c>
      <c r="F11" s="2" t="s">
        <v>21</v>
      </c>
    </row>
    <row r="12" spans="1:7" x14ac:dyDescent="0.2">
      <c r="A12" s="1" t="s">
        <v>76</v>
      </c>
      <c r="B12" s="1" t="s">
        <v>27</v>
      </c>
      <c r="C12" s="3">
        <v>45686</v>
      </c>
      <c r="D12" s="3">
        <v>46203</v>
      </c>
      <c r="E12" s="1">
        <v>10</v>
      </c>
      <c r="F12" s="4">
        <v>0</v>
      </c>
    </row>
    <row r="13" spans="1:7" x14ac:dyDescent="0.2">
      <c r="A13" s="2" t="s">
        <v>0</v>
      </c>
      <c r="B13" s="2" t="s">
        <v>1</v>
      </c>
      <c r="C13" s="2" t="s">
        <v>2</v>
      </c>
      <c r="D13" s="2" t="s">
        <v>3</v>
      </c>
      <c r="E13" s="2" t="s">
        <v>4</v>
      </c>
      <c r="F13" s="2" t="s">
        <v>5</v>
      </c>
      <c r="G13" s="2" t="s">
        <v>6</v>
      </c>
    </row>
    <row r="14" spans="1:7" x14ac:dyDescent="0.2">
      <c r="A14" s="1" t="s">
        <v>76</v>
      </c>
      <c r="B14" s="1" t="s">
        <v>8</v>
      </c>
      <c r="C14" s="3">
        <v>45686</v>
      </c>
      <c r="D14" s="3">
        <v>46203</v>
      </c>
      <c r="E14" s="1">
        <v>2.19</v>
      </c>
      <c r="F14" s="1">
        <f t="shared" ref="F14" si="0">((YEAR(D14)-YEAR(C14))*360+(MONTH(D14)-MONTH(C14))*30+(DAY(D14)-DAY(C14)))/30</f>
        <v>17.033333333333335</v>
      </c>
      <c r="G14" s="1">
        <f t="shared" ref="G14" si="1">100*(1+E14/100)^F14</f>
        <v>144.62933817985532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tabSelected="1" topLeftCell="A29"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85</v>
      </c>
      <c r="B2" s="3">
        <v>45449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85</v>
      </c>
      <c r="B3" s="3">
        <v>45571</v>
      </c>
      <c r="C3" s="1">
        <f t="shared" ref="C3:C8" si="0">C2-F3</f>
        <v>100</v>
      </c>
      <c r="D3" s="4">
        <v>0.05</v>
      </c>
      <c r="E3" s="5">
        <f>((D3*C2)/365)*_xlfn.DAYS(B3,B2)</f>
        <v>1.6712328767123288</v>
      </c>
      <c r="F3" s="1">
        <v>0</v>
      </c>
      <c r="G3" s="1">
        <f t="shared" ref="G3:G8" si="1">F3+E3</f>
        <v>1.6712328767123288</v>
      </c>
    </row>
    <row r="4" spans="1:7" x14ac:dyDescent="0.2">
      <c r="A4" s="1" t="s">
        <v>85</v>
      </c>
      <c r="B4" s="3">
        <v>45694</v>
      </c>
      <c r="C4" s="1">
        <f t="shared" si="0"/>
        <v>100</v>
      </c>
      <c r="D4" s="4">
        <v>0.05</v>
      </c>
      <c r="E4" s="5">
        <f t="shared" ref="E4:E8" si="2">((D4*C3)/365)*_xlfn.DAYS(B4,B3)</f>
        <v>1.6849315068493149</v>
      </c>
      <c r="F4" s="1">
        <v>0</v>
      </c>
      <c r="G4" s="1">
        <f t="shared" si="1"/>
        <v>1.6849315068493149</v>
      </c>
    </row>
    <row r="5" spans="1:7" x14ac:dyDescent="0.2">
      <c r="A5" s="1" t="s">
        <v>85</v>
      </c>
      <c r="B5" s="3">
        <v>45814</v>
      </c>
      <c r="C5" s="1">
        <f t="shared" si="0"/>
        <v>100</v>
      </c>
      <c r="D5" s="4">
        <v>0.05</v>
      </c>
      <c r="E5" s="5">
        <f t="shared" si="2"/>
        <v>1.6438356164383561</v>
      </c>
      <c r="F5" s="1">
        <v>0</v>
      </c>
      <c r="G5" s="1">
        <f t="shared" si="1"/>
        <v>1.6438356164383561</v>
      </c>
    </row>
    <row r="6" spans="1:7" x14ac:dyDescent="0.2">
      <c r="A6" s="1" t="s">
        <v>85</v>
      </c>
      <c r="B6" s="3">
        <v>45936</v>
      </c>
      <c r="C6" s="1">
        <f t="shared" si="0"/>
        <v>100</v>
      </c>
      <c r="D6" s="4">
        <v>0.05</v>
      </c>
      <c r="E6" s="5">
        <f t="shared" si="2"/>
        <v>1.6712328767123288</v>
      </c>
      <c r="F6" s="1">
        <v>0</v>
      </c>
      <c r="G6" s="1">
        <f t="shared" si="1"/>
        <v>1.6712328767123288</v>
      </c>
    </row>
    <row r="7" spans="1:7" x14ac:dyDescent="0.2">
      <c r="A7" s="1" t="s">
        <v>85</v>
      </c>
      <c r="B7" s="3">
        <v>46059</v>
      </c>
      <c r="C7" s="1">
        <f t="shared" si="0"/>
        <v>100</v>
      </c>
      <c r="D7" s="4">
        <v>0.05</v>
      </c>
      <c r="E7" s="5">
        <f t="shared" si="2"/>
        <v>1.6849315068493149</v>
      </c>
      <c r="F7" s="1">
        <v>0</v>
      </c>
      <c r="G7" s="1">
        <f t="shared" si="1"/>
        <v>1.6849315068493149</v>
      </c>
    </row>
    <row r="8" spans="1:7" x14ac:dyDescent="0.2">
      <c r="A8" s="1" t="s">
        <v>85</v>
      </c>
      <c r="B8" s="3">
        <v>46179</v>
      </c>
      <c r="C8" s="1">
        <f t="shared" si="0"/>
        <v>0</v>
      </c>
      <c r="D8" s="4">
        <v>0.05</v>
      </c>
      <c r="E8" s="5">
        <f t="shared" si="2"/>
        <v>1.6438356164383561</v>
      </c>
      <c r="F8" s="1">
        <v>100</v>
      </c>
      <c r="G8" s="1">
        <f t="shared" si="1"/>
        <v>101.64383561643835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2026-05-31T13:54:47Z</dcterms:modified>
</cp:coreProperties>
</file>