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cf161102fc41b3b/Desktop/Trabajo/Monitor Renta Fija ARG/"/>
    </mc:Choice>
  </mc:AlternateContent>
  <xr:revisionPtr revIDLastSave="124" documentId="8_{F4401CAA-FF53-400A-8AF9-9189ED345CC1}" xr6:coauthVersionLast="47" xr6:coauthVersionMax="47" xr10:uidLastSave="{775D7A4E-FCA2-4CB7-90A4-D39FB4CC7A7C}"/>
  <bookViews>
    <workbookView xWindow="-120" yWindow="-120" windowWidth="29040" windowHeight="15720" activeTab="3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5" i="2" l="1"/>
  <c r="C22" i="2"/>
  <c r="E26" i="2"/>
  <c r="G26" i="2" s="1"/>
  <c r="B27" i="2"/>
  <c r="E27" i="2" s="1"/>
  <c r="G27" i="2" s="1"/>
  <c r="G25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3" i="2"/>
  <c r="B17" i="2"/>
  <c r="B18" i="2"/>
  <c r="B19" i="2" s="1"/>
  <c r="B20" i="2" s="1"/>
  <c r="B21" i="2" s="1"/>
  <c r="B22" i="2" s="1"/>
  <c r="B4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3" i="2"/>
  <c r="G2" i="2"/>
  <c r="F2" i="1"/>
  <c r="G2" i="1" s="1"/>
  <c r="F3" i="1"/>
  <c r="G3" i="1" s="1"/>
  <c r="B28" i="2" l="1"/>
  <c r="G3" i="2"/>
  <c r="B29" i="2" l="1"/>
  <c r="E29" i="2"/>
  <c r="G29" i="2" s="1"/>
  <c r="E28" i="2"/>
  <c r="G28" i="2" s="1"/>
  <c r="B30" i="2" l="1"/>
  <c r="E30" i="2"/>
  <c r="G30" i="2" s="1"/>
  <c r="B31" i="2" l="1"/>
  <c r="E31" i="2"/>
  <c r="G31" i="2" s="1"/>
  <c r="B32" i="2" l="1"/>
  <c r="E32" i="2"/>
  <c r="G32" i="2" s="1"/>
  <c r="B33" i="2" l="1"/>
  <c r="E33" i="2"/>
  <c r="G33" i="2" s="1"/>
  <c r="B34" i="2" l="1"/>
  <c r="E34" i="2"/>
  <c r="G34" i="2" s="1"/>
  <c r="B35" i="2" l="1"/>
  <c r="E35" i="2"/>
  <c r="G35" i="2" s="1"/>
</calcChain>
</file>

<file path=xl/sharedStrings.xml><?xml version="1.0" encoding="utf-8"?>
<sst xmlns="http://schemas.openxmlformats.org/spreadsheetml/2006/main" count="79" uniqueCount="31">
  <si>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</si>
  <si>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</si>
  <si>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</si>
  <si>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</si>
  <si>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</si>
  <si>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</si>
  <si>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</si>
  <si>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</si>
  <si>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</si>
  <si>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2026-08-31</t>
  </si>
  <si>
    <t>S30S6</t>
  </si>
  <si>
    <t>2026-09-30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</si>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</sst>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3"/>
  <sheetViews>
    <sheetView workbookViewId="0">
      <selection activeCell="E10" sqref="E10"/>
    </sheetView>
  </sheetViews>
  <sheetFormatPr baseColWidth="10" defaultRowHeight="15" x14ac:dyDescent="0.25"/>
  <cols>
    <col min="1" max="7" width="19" customWidth="1"/>
  </cols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1" t="s">
        <v>7</v>
      </c>
      <c r="B2" s="1" t="s">
        <v>8</v>
      </c>
      <c r="C2" s="3">
        <v>45971</v>
      </c>
      <c r="D2" s="1" t="s">
        <v>9</v>
      </c>
      <c r="E2" s="1">
        <v>2.5</v>
      </c>
      <c r="F2" s="1">
        <f>((YEAR(D2)-YEAR(C2))*360+(MONTH(D2)-MONTH(C2))*30+(DAY(D2)-DAY(C2)))/30</f>
        <v>9.6999999999999993</v>
      </c>
      <c r="G2" s="1">
        <f>100*(1+E2/100)^F2</f>
        <v>127.06369905967132</v>
      </c>
    </row>
    <row r="3" spans="1:7" x14ac:dyDescent="0.25">
      <c r="A3" s="1" t="s">
        <v>10</v>
      </c>
      <c r="B3" s="1" t="s">
        <v>8</v>
      </c>
      <c r="C3" s="3">
        <v>46097</v>
      </c>
      <c r="D3" s="1" t="s">
        <v>11</v>
      </c>
      <c r="E3" s="1">
        <v>2.5299999999999998</v>
      </c>
      <c r="F3" s="1">
        <f>((YEAR(D3)-YEAR(C3))*360+(MONTH(D3)-MONTH(C3))*30+(DAY(D3)-DAY(C3)))/30</f>
        <v>6.4666666666666668</v>
      </c>
      <c r="G3" s="1">
        <f>100*(1+E3/100)^F3</f>
        <v>117.53562589582242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J20" sqref="J20"/>
    </sheetView>
  </sheetViews>
  <sheetFormatPr baseColWidth="10" defaultRowHeight="15" x14ac:dyDescent="0.25"/>
  <cols>
    <col min="1" max="7" width="13.7109375" customWidth="1"/>
  </cols>
  <sheetData>
    <row r="1" spans="1:7" x14ac:dyDescent="0.25">
      <c r="A1" s="2" t="s">
        <v>0</v>
      </c>
      <c r="B1" s="2" t="s">
        <v>12</v>
      </c>
      <c r="C1" s="2" t="s">
        <v>13</v>
      </c>
      <c r="D1" s="2" t="s">
        <v>16</v>
      </c>
      <c r="E1" s="2" t="s">
        <v>14</v>
      </c>
      <c r="F1" s="2" t="s">
        <v>15</v>
      </c>
      <c r="G1" s="2" t="s">
        <v>17</v>
      </c>
    </row>
    <row r="2" spans="1:7" x14ac:dyDescent="0.25">
      <c r="A2" s="1" t="s">
        <v>18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5">
      <c r="A3" s="1" t="s">
        <v>18</v>
      </c>
      <c r="B3" s="3">
        <f>EDATE(B2,6)</f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5">
      <c r="A4" s="1" t="s">
        <v>18</v>
      </c>
      <c r="B4" s="3">
        <f t="shared" ref="B4:B16" si="0">EDATE(B3,6)</f>
        <v>43025</v>
      </c>
      <c r="C4" s="1">
        <v>100</v>
      </c>
      <c r="D4" s="4">
        <v>0.155</v>
      </c>
      <c r="E4" s="5">
        <f t="shared" ref="E4:E22" si="1">((D4*C3)/360)*DAYS360(B3,B4)</f>
        <v>7.75</v>
      </c>
      <c r="F4" s="1">
        <v>0</v>
      </c>
      <c r="G4" s="1">
        <f t="shared" ref="G4:G22" si="2">F4+E4</f>
        <v>7.75</v>
      </c>
    </row>
    <row r="5" spans="1:7" x14ac:dyDescent="0.25">
      <c r="A5" s="1" t="s">
        <v>18</v>
      </c>
      <c r="B5" s="3">
        <f t="shared" si="0"/>
        <v>43207</v>
      </c>
      <c r="C5" s="1">
        <v>100</v>
      </c>
      <c r="D5" s="4">
        <v>0.155</v>
      </c>
      <c r="E5" s="5">
        <f t="shared" si="1"/>
        <v>7.75</v>
      </c>
      <c r="F5" s="1">
        <v>0</v>
      </c>
      <c r="G5" s="1">
        <f t="shared" si="2"/>
        <v>7.75</v>
      </c>
    </row>
    <row r="6" spans="1:7" x14ac:dyDescent="0.25">
      <c r="A6" s="1" t="s">
        <v>18</v>
      </c>
      <c r="B6" s="3">
        <f t="shared" si="0"/>
        <v>43390</v>
      </c>
      <c r="C6" s="1">
        <v>100</v>
      </c>
      <c r="D6" s="4">
        <v>0.155</v>
      </c>
      <c r="E6" s="5">
        <f t="shared" si="1"/>
        <v>7.75</v>
      </c>
      <c r="F6" s="1">
        <v>0</v>
      </c>
      <c r="G6" s="1">
        <f t="shared" si="2"/>
        <v>7.75</v>
      </c>
    </row>
    <row r="7" spans="1:7" x14ac:dyDescent="0.25">
      <c r="A7" s="1" t="s">
        <v>18</v>
      </c>
      <c r="B7" s="3">
        <f t="shared" si="0"/>
        <v>43572</v>
      </c>
      <c r="C7" s="1">
        <v>100</v>
      </c>
      <c r="D7" s="4">
        <v>0.155</v>
      </c>
      <c r="E7" s="5">
        <f t="shared" si="1"/>
        <v>7.75</v>
      </c>
      <c r="F7" s="1">
        <v>0</v>
      </c>
      <c r="G7" s="1">
        <f t="shared" si="2"/>
        <v>7.75</v>
      </c>
    </row>
    <row r="8" spans="1:7" x14ac:dyDescent="0.25">
      <c r="A8" s="1" t="s">
        <v>18</v>
      </c>
      <c r="B8" s="3">
        <f t="shared" si="0"/>
        <v>43755</v>
      </c>
      <c r="C8" s="1">
        <v>100</v>
      </c>
      <c r="D8" s="4">
        <v>0.155</v>
      </c>
      <c r="E8" s="5">
        <f t="shared" si="1"/>
        <v>7.75</v>
      </c>
      <c r="F8" s="1">
        <v>0</v>
      </c>
      <c r="G8" s="1">
        <f t="shared" si="2"/>
        <v>7.75</v>
      </c>
    </row>
    <row r="9" spans="1:7" x14ac:dyDescent="0.25">
      <c r="A9" s="1" t="s">
        <v>18</v>
      </c>
      <c r="B9" s="3">
        <f t="shared" si="0"/>
        <v>43938</v>
      </c>
      <c r="C9" s="1">
        <v>100</v>
      </c>
      <c r="D9" s="4">
        <v>0.155</v>
      </c>
      <c r="E9" s="5">
        <f t="shared" si="1"/>
        <v>7.75</v>
      </c>
      <c r="F9" s="1">
        <v>0</v>
      </c>
      <c r="G9" s="1">
        <f t="shared" si="2"/>
        <v>7.75</v>
      </c>
    </row>
    <row r="10" spans="1:7" x14ac:dyDescent="0.25">
      <c r="A10" s="1" t="s">
        <v>18</v>
      </c>
      <c r="B10" s="3">
        <f t="shared" si="0"/>
        <v>44121</v>
      </c>
      <c r="C10" s="1">
        <v>100</v>
      </c>
      <c r="D10" s="4">
        <v>0.155</v>
      </c>
      <c r="E10" s="5">
        <f t="shared" si="1"/>
        <v>7.75</v>
      </c>
      <c r="F10" s="1">
        <v>0</v>
      </c>
      <c r="G10" s="1">
        <f t="shared" si="2"/>
        <v>7.75</v>
      </c>
    </row>
    <row r="11" spans="1:7" x14ac:dyDescent="0.25">
      <c r="A11" s="1" t="s">
        <v>18</v>
      </c>
      <c r="B11" s="3">
        <f t="shared" si="0"/>
        <v>44303</v>
      </c>
      <c r="C11" s="1">
        <v>100</v>
      </c>
      <c r="D11" s="4">
        <v>0.155</v>
      </c>
      <c r="E11" s="5">
        <f t="shared" si="1"/>
        <v>7.75</v>
      </c>
      <c r="F11" s="1">
        <v>0</v>
      </c>
      <c r="G11" s="1">
        <f t="shared" si="2"/>
        <v>7.75</v>
      </c>
    </row>
    <row r="12" spans="1:7" x14ac:dyDescent="0.25">
      <c r="A12" s="1" t="s">
        <v>18</v>
      </c>
      <c r="B12" s="3">
        <f t="shared" si="0"/>
        <v>44486</v>
      </c>
      <c r="C12" s="1">
        <v>100</v>
      </c>
      <c r="D12" s="4">
        <v>0.155</v>
      </c>
      <c r="E12" s="5">
        <f t="shared" si="1"/>
        <v>7.75</v>
      </c>
      <c r="F12" s="1">
        <v>0</v>
      </c>
      <c r="G12" s="1">
        <f t="shared" si="2"/>
        <v>7.75</v>
      </c>
    </row>
    <row r="13" spans="1:7" x14ac:dyDescent="0.25">
      <c r="A13" s="1" t="s">
        <v>18</v>
      </c>
      <c r="B13" s="3">
        <f t="shared" si="0"/>
        <v>44668</v>
      </c>
      <c r="C13" s="1">
        <v>100</v>
      </c>
      <c r="D13" s="4">
        <v>0.155</v>
      </c>
      <c r="E13" s="5">
        <f t="shared" si="1"/>
        <v>7.75</v>
      </c>
      <c r="F13" s="1">
        <v>0</v>
      </c>
      <c r="G13" s="1">
        <f t="shared" si="2"/>
        <v>7.75</v>
      </c>
    </row>
    <row r="14" spans="1:7" x14ac:dyDescent="0.25">
      <c r="A14" s="1" t="s">
        <v>18</v>
      </c>
      <c r="B14" s="3">
        <f t="shared" si="0"/>
        <v>44851</v>
      </c>
      <c r="C14" s="1">
        <v>100</v>
      </c>
      <c r="D14" s="4">
        <v>0.155</v>
      </c>
      <c r="E14" s="5">
        <f t="shared" si="1"/>
        <v>7.75</v>
      </c>
      <c r="F14" s="1">
        <v>0</v>
      </c>
      <c r="G14" s="1">
        <f t="shared" si="2"/>
        <v>7.75</v>
      </c>
    </row>
    <row r="15" spans="1:7" x14ac:dyDescent="0.25">
      <c r="A15" s="1" t="s">
        <v>18</v>
      </c>
      <c r="B15" s="3">
        <f t="shared" si="0"/>
        <v>45033</v>
      </c>
      <c r="C15" s="1">
        <v>100</v>
      </c>
      <c r="D15" s="4">
        <v>0.155</v>
      </c>
      <c r="E15" s="5">
        <f t="shared" si="1"/>
        <v>7.75</v>
      </c>
      <c r="F15" s="1">
        <v>0</v>
      </c>
      <c r="G15" s="1">
        <f t="shared" si="2"/>
        <v>7.75</v>
      </c>
    </row>
    <row r="16" spans="1:7" x14ac:dyDescent="0.25">
      <c r="A16" s="1" t="s">
        <v>18</v>
      </c>
      <c r="B16" s="3">
        <f t="shared" si="0"/>
        <v>45216</v>
      </c>
      <c r="C16" s="1">
        <v>100</v>
      </c>
      <c r="D16" s="4">
        <v>0.155</v>
      </c>
      <c r="E16" s="5">
        <f t="shared" si="1"/>
        <v>7.75</v>
      </c>
      <c r="F16" s="1">
        <v>0</v>
      </c>
      <c r="G16" s="1">
        <f t="shared" si="2"/>
        <v>7.75</v>
      </c>
    </row>
    <row r="17" spans="1:7" x14ac:dyDescent="0.25">
      <c r="A17" s="1" t="s">
        <v>18</v>
      </c>
      <c r="B17" s="3">
        <f t="shared" ref="B17:B22" si="3">EDATE(B16,6)</f>
        <v>45399</v>
      </c>
      <c r="C17" s="1">
        <v>100</v>
      </c>
      <c r="D17" s="4">
        <v>0.155</v>
      </c>
      <c r="E17" s="5">
        <f t="shared" si="1"/>
        <v>7.75</v>
      </c>
      <c r="F17" s="1">
        <v>0</v>
      </c>
      <c r="G17" s="1">
        <f t="shared" si="2"/>
        <v>7.75</v>
      </c>
    </row>
    <row r="18" spans="1:7" x14ac:dyDescent="0.25">
      <c r="A18" s="1" t="s">
        <v>18</v>
      </c>
      <c r="B18" s="3">
        <f t="shared" si="3"/>
        <v>45582</v>
      </c>
      <c r="C18" s="1">
        <v>100</v>
      </c>
      <c r="D18" s="4">
        <v>0.155</v>
      </c>
      <c r="E18" s="5">
        <f t="shared" si="1"/>
        <v>7.75</v>
      </c>
      <c r="F18" s="1">
        <v>0</v>
      </c>
      <c r="G18" s="1">
        <f t="shared" si="2"/>
        <v>7.75</v>
      </c>
    </row>
    <row r="19" spans="1:7" x14ac:dyDescent="0.25">
      <c r="A19" s="1" t="s">
        <v>18</v>
      </c>
      <c r="B19" s="3">
        <f t="shared" si="3"/>
        <v>45764</v>
      </c>
      <c r="C19" s="1">
        <v>100</v>
      </c>
      <c r="D19" s="4">
        <v>0.155</v>
      </c>
      <c r="E19" s="5">
        <f t="shared" si="1"/>
        <v>7.75</v>
      </c>
      <c r="F19" s="1">
        <v>0</v>
      </c>
      <c r="G19" s="1">
        <f t="shared" si="2"/>
        <v>7.75</v>
      </c>
    </row>
    <row r="20" spans="1:7" x14ac:dyDescent="0.25">
      <c r="A20" s="1" t="s">
        <v>18</v>
      </c>
      <c r="B20" s="3">
        <f t="shared" si="3"/>
        <v>45947</v>
      </c>
      <c r="C20" s="1">
        <v>100</v>
      </c>
      <c r="D20" s="4">
        <v>0.155</v>
      </c>
      <c r="E20" s="5">
        <f t="shared" si="1"/>
        <v>7.75</v>
      </c>
      <c r="F20" s="1">
        <v>0</v>
      </c>
      <c r="G20" s="1">
        <f t="shared" si="2"/>
        <v>7.75</v>
      </c>
    </row>
    <row r="21" spans="1:7" x14ac:dyDescent="0.25">
      <c r="A21" s="1" t="s">
        <v>18</v>
      </c>
      <c r="B21" s="3">
        <f t="shared" si="3"/>
        <v>46129</v>
      </c>
      <c r="C21" s="1">
        <v>100</v>
      </c>
      <c r="D21" s="4">
        <v>0.155</v>
      </c>
      <c r="E21" s="5">
        <f t="shared" si="1"/>
        <v>7.75</v>
      </c>
      <c r="F21" s="1">
        <v>0</v>
      </c>
      <c r="G21" s="1">
        <f t="shared" si="2"/>
        <v>7.75</v>
      </c>
    </row>
    <row r="22" spans="1:7" x14ac:dyDescent="0.25">
      <c r="A22" s="1" t="s">
        <v>18</v>
      </c>
      <c r="B22" s="3">
        <f t="shared" si="3"/>
        <v>46312</v>
      </c>
      <c r="C22" s="1">
        <f>C21-F22</f>
        <v>0</v>
      </c>
      <c r="D22" s="4">
        <v>0.155</v>
      </c>
      <c r="E22" s="5">
        <f t="shared" si="1"/>
        <v>7.75</v>
      </c>
      <c r="F22" s="1">
        <v>100</v>
      </c>
      <c r="G22" s="1">
        <f t="shared" si="2"/>
        <v>107.75</v>
      </c>
    </row>
    <row r="24" spans="1:7" x14ac:dyDescent="0.25">
      <c r="A24" s="2" t="s">
        <v>0</v>
      </c>
      <c r="B24" s="2" t="s">
        <v>12</v>
      </c>
      <c r="C24" s="2" t="s">
        <v>13</v>
      </c>
      <c r="D24" s="2" t="s">
        <v>16</v>
      </c>
      <c r="E24" s="2" t="s">
        <v>14</v>
      </c>
      <c r="F24" s="2" t="s">
        <v>15</v>
      </c>
      <c r="G24" s="2" t="s">
        <v>17</v>
      </c>
    </row>
    <row r="25" spans="1:7" x14ac:dyDescent="0.25">
      <c r="A25" s="1" t="s">
        <v>19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5">
      <c r="A26" s="1" t="s">
        <v>19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4">F26+E26</f>
        <v>14.422222222222222</v>
      </c>
    </row>
    <row r="27" spans="1:7" x14ac:dyDescent="0.25">
      <c r="A27" s="1" t="s">
        <v>19</v>
      </c>
      <c r="B27" s="3">
        <f>EDATE(B26,6)</f>
        <v>46172</v>
      </c>
      <c r="C27" s="1">
        <v>100</v>
      </c>
      <c r="D27" s="4">
        <v>0.29499999999999998</v>
      </c>
      <c r="E27" s="5">
        <f t="shared" ref="E27:E35" si="5">((D27*C26)/360)*DAYS360(B26,B27)</f>
        <v>14.75</v>
      </c>
      <c r="F27" s="1">
        <v>0</v>
      </c>
      <c r="G27" s="1">
        <f t="shared" si="4"/>
        <v>14.75</v>
      </c>
    </row>
    <row r="28" spans="1:7" x14ac:dyDescent="0.25">
      <c r="A28" s="1" t="s">
        <v>19</v>
      </c>
      <c r="B28" s="3">
        <f t="shared" ref="B28:B35" si="6">EDATE(B27,6)</f>
        <v>46356</v>
      </c>
      <c r="C28" s="1">
        <v>100</v>
      </c>
      <c r="D28" s="4">
        <v>0.29499999999999998</v>
      </c>
      <c r="E28" s="5">
        <f t="shared" si="5"/>
        <v>14.75</v>
      </c>
      <c r="F28" s="1">
        <v>0</v>
      </c>
      <c r="G28" s="1">
        <f t="shared" si="4"/>
        <v>14.75</v>
      </c>
    </row>
    <row r="29" spans="1:7" x14ac:dyDescent="0.25">
      <c r="A29" s="1" t="s">
        <v>19</v>
      </c>
      <c r="B29" s="3">
        <f t="shared" si="6"/>
        <v>46537</v>
      </c>
      <c r="C29" s="1">
        <v>100</v>
      </c>
      <c r="D29" s="4">
        <v>0.29499999999999998</v>
      </c>
      <c r="E29" s="5">
        <f t="shared" si="5"/>
        <v>14.75</v>
      </c>
      <c r="F29" s="1">
        <v>0</v>
      </c>
      <c r="G29" s="1">
        <f t="shared" si="4"/>
        <v>14.75</v>
      </c>
    </row>
    <row r="30" spans="1:7" x14ac:dyDescent="0.25">
      <c r="A30" s="1" t="s">
        <v>19</v>
      </c>
      <c r="B30" s="3">
        <f t="shared" si="6"/>
        <v>46721</v>
      </c>
      <c r="C30" s="1">
        <v>100</v>
      </c>
      <c r="D30" s="4">
        <v>0.29499999999999998</v>
      </c>
      <c r="E30" s="5">
        <f t="shared" si="5"/>
        <v>14.75</v>
      </c>
      <c r="F30" s="1">
        <v>0</v>
      </c>
      <c r="G30" s="1">
        <f t="shared" si="4"/>
        <v>14.75</v>
      </c>
    </row>
    <row r="31" spans="1:7" x14ac:dyDescent="0.25">
      <c r="A31" s="1" t="s">
        <v>19</v>
      </c>
      <c r="B31" s="3">
        <f t="shared" si="6"/>
        <v>46903</v>
      </c>
      <c r="C31" s="1">
        <v>100</v>
      </c>
      <c r="D31" s="4">
        <v>0.29499999999999998</v>
      </c>
      <c r="E31" s="5">
        <f t="shared" si="5"/>
        <v>14.75</v>
      </c>
      <c r="F31" s="1">
        <v>0</v>
      </c>
      <c r="G31" s="1">
        <f t="shared" si="4"/>
        <v>14.75</v>
      </c>
    </row>
    <row r="32" spans="1:7" x14ac:dyDescent="0.25">
      <c r="A32" s="1" t="s">
        <v>19</v>
      </c>
      <c r="B32" s="3">
        <f t="shared" si="6"/>
        <v>47087</v>
      </c>
      <c r="C32" s="1">
        <v>100</v>
      </c>
      <c r="D32" s="4">
        <v>0.29499999999999998</v>
      </c>
      <c r="E32" s="5">
        <f t="shared" si="5"/>
        <v>14.75</v>
      </c>
      <c r="F32" s="1">
        <v>0</v>
      </c>
      <c r="G32" s="1">
        <f t="shared" si="4"/>
        <v>14.75</v>
      </c>
    </row>
    <row r="33" spans="1:7" x14ac:dyDescent="0.25">
      <c r="A33" s="1" t="s">
        <v>19</v>
      </c>
      <c r="B33" s="3">
        <f t="shared" si="6"/>
        <v>47268</v>
      </c>
      <c r="C33" s="1">
        <v>100</v>
      </c>
      <c r="D33" s="4">
        <v>0.29499999999999998</v>
      </c>
      <c r="E33" s="5">
        <f t="shared" si="5"/>
        <v>14.75</v>
      </c>
      <c r="F33" s="1">
        <v>0</v>
      </c>
      <c r="G33" s="1">
        <f t="shared" si="4"/>
        <v>14.75</v>
      </c>
    </row>
    <row r="34" spans="1:7" x14ac:dyDescent="0.25">
      <c r="A34" s="1" t="s">
        <v>19</v>
      </c>
      <c r="B34" s="3">
        <f t="shared" si="6"/>
        <v>47452</v>
      </c>
      <c r="C34" s="1">
        <v>100</v>
      </c>
      <c r="D34" s="4">
        <v>0.29499999999999998</v>
      </c>
      <c r="E34" s="5">
        <f t="shared" si="5"/>
        <v>14.75</v>
      </c>
      <c r="F34" s="1">
        <v>0</v>
      </c>
      <c r="G34" s="1">
        <f t="shared" si="4"/>
        <v>14.75</v>
      </c>
    </row>
    <row r="35" spans="1:7" x14ac:dyDescent="0.25">
      <c r="A35" s="1" t="s">
        <v>19</v>
      </c>
      <c r="B35" s="3">
        <f t="shared" si="6"/>
        <v>47633</v>
      </c>
      <c r="C35" s="1">
        <f>C34-F35</f>
        <v>0</v>
      </c>
      <c r="D35" s="4">
        <v>0.29499999999999998</v>
      </c>
      <c r="E35" s="5">
        <f t="shared" si="5"/>
        <v>14.75</v>
      </c>
      <c r="F35" s="1">
        <v>100</v>
      </c>
      <c r="G35" s="1">
        <f t="shared" si="4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3"/>
  <sheetViews>
    <sheetView workbookViewId="0">
      <selection activeCell="A2" sqref="A2:F3"/>
    </sheetView>
  </sheetViews>
  <sheetFormatPr baseColWidth="10" defaultRowHeight="15" x14ac:dyDescent="0.25"/>
  <cols>
    <col min="1" max="6" width="17.85546875" customWidth="1"/>
  </cols>
  <sheetData>
    <row r="1" spans="1:6" x14ac:dyDescent="0.25">
      <c r="A1" s="2" t="s">
        <v>0</v>
      </c>
      <c r="B1" s="2" t="s">
        <v>1</v>
      </c>
      <c r="C1" s="2" t="s">
        <v>20</v>
      </c>
      <c r="D1" s="2" t="s">
        <v>21</v>
      </c>
      <c r="E1" s="2" t="s">
        <v>22</v>
      </c>
      <c r="F1" s="2" t="s">
        <v>23</v>
      </c>
    </row>
    <row r="2" spans="1:6" x14ac:dyDescent="0.25">
      <c r="A2" s="1" t="s">
        <v>24</v>
      </c>
      <c r="B2" s="1" t="s">
        <v>26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25">
      <c r="A3" s="1" t="s">
        <v>25</v>
      </c>
      <c r="B3" s="1" t="s">
        <v>26</v>
      </c>
      <c r="C3" s="3">
        <v>45323</v>
      </c>
      <c r="D3" s="3">
        <v>46568</v>
      </c>
      <c r="E3" s="1">
        <v>10</v>
      </c>
      <c r="F3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3"/>
  <sheetViews>
    <sheetView tabSelected="1" workbookViewId="0">
      <selection activeCell="F3" sqref="F3"/>
    </sheetView>
  </sheetViews>
  <sheetFormatPr baseColWidth="10" defaultRowHeight="15" x14ac:dyDescent="0.25"/>
  <cols>
    <col min="1" max="6" width="20.42578125" customWidth="1"/>
    <col min="7" max="7" width="14.5703125" customWidth="1"/>
  </cols>
  <sheetData>
    <row r="1" spans="1:6" x14ac:dyDescent="0.25">
      <c r="A1" s="2" t="s">
        <v>0</v>
      </c>
      <c r="B1" s="2" t="s">
        <v>1</v>
      </c>
      <c r="C1" s="2" t="s">
        <v>20</v>
      </c>
      <c r="D1" s="2" t="s">
        <v>21</v>
      </c>
      <c r="E1" s="2" t="s">
        <v>30</v>
      </c>
      <c r="F1" s="2" t="s">
        <v>23</v>
      </c>
    </row>
    <row r="2" spans="1:6" x14ac:dyDescent="0.25">
      <c r="A2" s="1" t="s">
        <v>27</v>
      </c>
      <c r="B2" s="1" t="s">
        <v>29</v>
      </c>
      <c r="C2" s="3">
        <v>46066</v>
      </c>
      <c r="D2" s="3">
        <v>46444</v>
      </c>
      <c r="E2" s="1">
        <v>10</v>
      </c>
      <c r="F2" s="4">
        <v>6.5000000000000002E-2</v>
      </c>
    </row>
    <row r="3" spans="1:6" x14ac:dyDescent="0.25">
      <c r="A3" s="1" t="s">
        <v>28</v>
      </c>
      <c r="B3" s="1" t="s">
        <v>29</v>
      </c>
      <c r="C3" s="3">
        <v>46112</v>
      </c>
      <c r="D3" s="3">
        <v>46630</v>
      </c>
      <c r="E3" s="1">
        <v>10</v>
      </c>
      <c r="F3" s="6">
        <v>0.06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LECAPS</vt:lpstr>
      <vt:lpstr>TASA FIJA</vt:lpstr>
      <vt:lpstr>CER</vt:lpstr>
      <vt:lpstr>TAMAR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2026-05-20T15:20:30Z</dcterms:modified>
</cp:coreProperties>
</file>